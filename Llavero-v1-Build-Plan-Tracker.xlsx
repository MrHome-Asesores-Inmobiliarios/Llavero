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Summary" sheetId="1" state="visible" r:id="rId3"/>
    <sheet name="Milestones" sheetId="2" state="visible" r:id="rId4"/>
    <sheet name="Tasks" sheetId="3" state="visible" r:id="rId5"/>
    <sheet name="Risks" sheetId="4" state="visible" r:id="rId6"/>
    <sheet name="Confirmations P13-14-15" sheetId="5" state="visible" r:id="rId7"/>
    <sheet name="Decisions (D-01..D-33)" sheetId="6" state="visible" r:id="rId8"/>
  </sheets>
  <definedNames>
    <definedName function="false" hidden="true" localSheetId="2" name="_xlnm._FilterDatabase" vbProcedure="false">Tasks!$A$2:$I$72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<sst xmlns="http://schemas.openxmlformats.org/spreadsheetml/2006/main" count="803" uniqueCount="563">
  <si>
    <t xml:space="preserve">Llavero - Secure Credentials &amp; IT Asset System</t>
  </si>
  <si>
    <t xml:space="preserve">v1 Build Plan &amp; Day-to-Day Tracker</t>
  </si>
  <si>
    <t xml:space="preserve">Record, report, and query only. Fully in-house, zero cost. Django + PostgreSQL + HTMX. Two admins, one viewer.</t>
  </si>
  <si>
    <t xml:space="preserve">Source of truth: 00-Master-Index-and-Decision-Registry.md (D-01..D-33 locked). Detail in Annexes A-I.</t>
  </si>
  <si>
    <t xml:space="preserve">Progress</t>
  </si>
  <si>
    <t xml:space="preserve">Total tasks</t>
  </si>
  <si>
    <t xml:space="preserve">Done</t>
  </si>
  <si>
    <t xml:space="preserve">In progress</t>
  </si>
  <si>
    <t xml:space="preserve">Blocked</t>
  </si>
  <si>
    <t xml:space="preserve">Not started</t>
  </si>
  <si>
    <t xml:space="preserve">The eight phases (build security-first, fan out after the spine is proven)</t>
  </si>
  <si>
    <t xml:space="preserve">Phase</t>
  </si>
  <si>
    <t xml:space="preserve">Focus</t>
  </si>
  <si>
    <t xml:space="preserve">Depends on</t>
  </si>
  <si>
    <t xml:space="preserve">Size</t>
  </si>
  <si>
    <t xml:space="preserve">0</t>
  </si>
  <si>
    <t xml:space="preserve">Confirm open points; provision hardened infrastructure</t>
  </si>
  <si>
    <t xml:space="preserve">none</t>
  </si>
  <si>
    <t xml:space="preserve">M</t>
  </si>
  <si>
    <t xml:space="preserve">1</t>
  </si>
  <si>
    <t xml:space="preserve">Schema + security spine (encryption, audit, auth) via a thin vertical slice</t>
  </si>
  <si>
    <t xml:space="preserve">L (long pole)</t>
  </si>
  <si>
    <t xml:space="preserve">2</t>
  </si>
  <si>
    <t xml:space="preserve">Backups operational, before any real data</t>
  </si>
  <si>
    <t xml:space="preserve">S-M</t>
  </si>
  <si>
    <t xml:space="preserve">3</t>
  </si>
  <si>
    <t xml:space="preserve">Inventory CRUD, relationships, states, custom fields, UI</t>
  </si>
  <si>
    <t xml:space="preserve">M-L</t>
  </si>
  <si>
    <t xml:space="preserve">4</t>
  </si>
  <si>
    <t xml:space="preserve">Secrets: store, reveal, rotate, masking, recovery validated</t>
  </si>
  <si>
    <t xml:space="preserve">1, 3</t>
  </si>
  <si>
    <t xml:space="preserve">5</t>
  </si>
  <si>
    <t xml:space="preserve">Read-only integrations (Graph MFA, network gear)</t>
  </si>
  <si>
    <t xml:space="preserve">6</t>
  </si>
  <si>
    <t xml:space="preserve">Alert engine (13 rules) and dashboard</t>
  </si>
  <si>
    <t xml:space="preserve">3, 4, 5</t>
  </si>
  <si>
    <t xml:space="preserve">7</t>
  </si>
  <si>
    <t xml:space="preserve">Release gate: full DR drill, security review, go-live</t>
  </si>
  <si>
    <t xml:space="preserve">all</t>
  </si>
  <si>
    <t xml:space="preserve">HARD RULE: do not load real secrets until backups run (P2-T6) and the recovery-key restore has passed (P4-T6). See Risks R-4.</t>
  </si>
  <si>
    <t xml:space="preserve">Milestone</t>
  </si>
  <si>
    <t xml:space="preserve">Goal</t>
  </si>
  <si>
    <t xml:space="preserve">Definition of done</t>
  </si>
  <si>
    <t xml:space="preserve">Phase 0</t>
  </si>
  <si>
    <t xml:space="preserve">Foundations</t>
  </si>
  <si>
    <t xml:space="preserve">Confirm the open points (P-13/14/15) and stand up hardened infrastructure so the build starts on safe ground.</t>
  </si>
  <si>
    <t xml:space="preserve">P-13/14/15 confirmed and recorded in the registry; server provisioned per Annex G (minimal OS, LUKS2 TPM+PIN, default-deny firewall, VPN-only path, restricted egress); separate anchoring/log/backup host confirmed or provisioned; no app code or real data yet.</t>
  </si>
  <si>
    <t xml:space="preserve">Phase 1</t>
  </si>
  <si>
    <t xml:space="preserve">Schema + security spine</t>
  </si>
  <si>
    <t xml:space="preserve">Stand up the Django project and the Annex C schema, then build encryption, audit log, and auth, proven end to end through a thin vertical slice before fanning out.</t>
  </si>
  <si>
    <t xml:space="preserve">Thin slice (one entity, one secret, one logged change, one login) works end to end; chain verifies; master key never on disk or swap; Viewer session holds no key; per-admin wrapping works; printed recovery key generated and in the safe.</t>
  </si>
  <si>
    <t xml:space="preserve">Phase 2</t>
  </si>
  <si>
    <t xml:space="preserve">Backups operational</t>
  </si>
  <si>
    <t xml:space="preserve">Daily encrypted dumps to three destinations and a first restore dry run, before any real data exists.</t>
  </si>
  <si>
    <t xml:space="preserve">Daily encrypted pg_dump on a timer; three copies including the offsite office; backup public key on server, private key offline in the safe; first restore dry run passes including chain verify and a recovery-key decrypt. No WAL in v1 (P-15).</t>
  </si>
  <si>
    <t xml:space="preserve">Phase 3</t>
  </si>
  <si>
    <t xml:space="preserve">Inventory</t>
  </si>
  <si>
    <t xml:space="preserve">Full CRUD for people, accounts, devices, offices, the nine join tables, states, custom fields, and a responsive HTMX UI. Writes audited, reads logged.</t>
  </si>
  <si>
    <t xml:space="preserve">Every entity type recordable and relatable quickly from any entity page; states enforced (no hard deletes); custom fields render typed and honor viewer_visible; writes produce audit entries; reads produce record_view/list_view/search per granularity; Viewer masking holds server-side.</t>
  </si>
  <si>
    <t xml:space="preserve">Phase 4</t>
  </si>
  <si>
    <t xml:space="preserve">Secrets</t>
  </si>
  <si>
    <t xml:space="preserve">Reveal with per-action reauth, rotation, keyless Viewer masking, and a validated recovery-key path. Encryption meets the UI.</t>
  </si>
  <si>
    <t xml:space="preserve">Admin reveals with step-up and a logged reason, transient display + clipboard auto-clear; rotation works; Viewer masked and keyless; create/rotate/reveal logged; recovery-key reveal path validated (pairs with Phase 2 to clear the real-secrets gate).</t>
  </si>
  <si>
    <t xml:space="preserve">Phases 1, 3</t>
  </si>
  <si>
    <t xml:space="preserve">Phase 5</t>
  </si>
  <si>
    <t xml:space="preserve">Integrations (read-only)</t>
  </si>
  <si>
    <t xml:space="preserve">Graph MFA pull plus network monitoring (WatchGuard, MikroTik, UniFi), telemetry kept off the audit chain.</t>
  </si>
  <si>
    <t xml:space="preserve">Daily Graph pull updates mfa_state/mfa_types via certificate auth and read-only scopes (no write scopes requested); gear polled every 5 min into network_device_detail + telemetry; only meaningful transitions chained; integration secrets in the vault; egress restricted to Graph + gear.</t>
  </si>
  <si>
    <t xml:space="preserve">Phase 6</t>
  </si>
  <si>
    <t xml:space="preserve">Alerts + dashboard</t>
  </si>
  <si>
    <t xml:space="preserve">The 13 rules, dashboard grouping and acknowledge flow, and the integrity strip. Needs real-ish data and the integrations to be meaningful.</t>
  </si>
  <si>
    <t xml:space="preserve">Scheduled (15 min) + on-demand evaluation by a system actor; alert table open/acknowledged/resolved with auto-resolve (rotation-evidence exceptions); 13 rules including E-1 (phones+tablets+laptops); thresholds in the setting table; integrity strip shows chain status; E-13 self-monitors.</t>
  </si>
  <si>
    <t xml:space="preserve">Phases 3, 4, 5</t>
  </si>
  <si>
    <t xml:space="preserve">Phase 7</t>
  </si>
  <si>
    <t xml:space="preserve">Release gate</t>
  </si>
  <si>
    <t xml:space="preserve">Full DR drill through the recovery-key path, a security pass over egress and roles, handover polish, then load real data and go live.</t>
  </si>
  <si>
    <t xml:space="preserve">Full DR drill on new/isolated hardware passes via the recovery-key path and the chain verifies against off-box checkpoints; security pass clean (egress, role/field matrix, Viewer export block, single session); handover countdown polished; real data loaded only after the gate; v1 definition-of-done checklist signed off.</t>
  </si>
  <si>
    <t xml:space="preserve">Task breakdown - each task cites the annex/section it implements and its dependencies. [GATE] and [VERIFY] rows are checkpoints.</t>
  </si>
  <si>
    <t xml:space="preserve">Task ID</t>
  </si>
  <si>
    <t xml:space="preserve">Task</t>
  </si>
  <si>
    <t xml:space="preserve">Implements (annex / section)</t>
  </si>
  <si>
    <t xml:space="preserve">Gate / reauth</t>
  </si>
  <si>
    <t xml:space="preserve">Status</t>
  </si>
  <si>
    <t xml:space="preserve">Owner</t>
  </si>
  <si>
    <t xml:space="preserve">Notes</t>
  </si>
  <si>
    <t xml:space="preserve">P0-T1</t>
  </si>
  <si>
    <t xml:space="preserve">Confirm P-13: alert thresholds + E-1 unrecoverable device scope</t>
  </si>
  <si>
    <t xml:space="preserve">Annex E 5, 9; Annex F 9</t>
  </si>
  <si>
    <t xml:space="preserve">-</t>
  </si>
  <si>
    <t xml:space="preserve">Confirmation</t>
  </si>
  <si>
    <t xml:space="preserve">E-1 set to phones+tablets+laptops; other thresholds keep Annex E 5 defaults, tunable in the setting table</t>
  </si>
  <si>
    <t xml:space="preserve">P0-T2</t>
  </si>
  <si>
    <t xml:space="preserve">Confirm P-14: TPM presence, separate host, disk unlock mode</t>
  </si>
  <si>
    <t xml:space="preserve">Annex G 10 (3,4,7)</t>
  </si>
  <si>
    <t xml:space="preserve">TPM 2.0 present -&gt; TPM sealing + TPM/PIN. Separate host = decide in Phase 0 (P0-T9)</t>
  </si>
  <si>
    <t xml:space="preserve">P0-T3</t>
  </si>
  <si>
    <t xml:space="preserve">Confirm P-15: RPO target, offsite office, drill cadence</t>
  </si>
  <si>
    <t xml:space="preserve">Annex H 11 (3,4,9)</t>
  </si>
  <si>
    <t xml:space="preserve">RPO = daily dumps (no WAL); drill quarterly. OFFSITE OFFICE STILL TO SPECIFY</t>
  </si>
  <si>
    <t xml:space="preserve">P0-T4</t>
  </si>
  <si>
    <t xml:space="preserve">Record confirmations in the decision registry</t>
  </si>
  <si>
    <t xml:space="preserve">Master Index 3, 6</t>
  </si>
  <si>
    <t xml:space="preserve">P0-T1, P0-T2, P0-T3</t>
  </si>
  <si>
    <t xml:space="preserve">Keep no decision trapped in chat</t>
  </si>
  <si>
    <t xml:space="preserve">P0-T5</t>
  </si>
  <si>
    <t xml:space="preserve">Provision minimal hardened OS (Ubuntu 24.04, AppArmor/SELinux, chrony, swap off/encrypted, core dumps off)</t>
  </si>
  <si>
    <t xml:space="preserve">Annex G 2</t>
  </si>
  <si>
    <t xml:space="preserve">P0-T6</t>
  </si>
  <si>
    <t xml:space="preserve">LUKS2 full-disk encryption, unlock bound to TPM2 + PIN</t>
  </si>
  <si>
    <t xml:space="preserve">Annex G 3</t>
  </si>
  <si>
    <t xml:space="preserve">P0-T2, P0-T5</t>
  </si>
  <si>
    <t xml:space="preserve">Boot passphrase is the stricter alternative if reboots are attended</t>
  </si>
  <si>
    <t xml:space="preserve">P0-T7</t>
  </si>
  <si>
    <t xml:space="preserve">Default-deny firewall (nftables/ufw) + SSH lockdown (key-only, no root) + fail2ban</t>
  </si>
  <si>
    <t xml:space="preserve">Annex G 2, 8</t>
  </si>
  <si>
    <t xml:space="preserve">P0-T8</t>
  </si>
  <si>
    <t xml:space="preserve">Establish VPN-only access path (WatchGuard SSL VPN / MikroTik tunnels) with VPN MFA</t>
  </si>
  <si>
    <t xml:space="preserve">Annex G 6</t>
  </si>
  <si>
    <t xml:space="preserve">Outer of three auth layers</t>
  </si>
  <si>
    <t xml:space="preserve">P0-T9</t>
  </si>
  <si>
    <t xml:space="preserve">Provision/confirm the separate internal host (append-only checkpoints, shipped logs, backup copy 1)</t>
  </si>
  <si>
    <t xml:space="preserve">Annex G 7; Annex H 4</t>
  </si>
  <si>
    <t xml:space="preserve">Resolves the open part of P-14</t>
  </si>
  <si>
    <t xml:space="preserve">P0-T10</t>
  </si>
  <si>
    <t xml:space="preserve">Restrict outbound egress to Graph endpoints + LAN/tunnel reach only</t>
  </si>
  <si>
    <t xml:space="preserve">Annex G 1, 8; Annex F 7</t>
  </si>
  <si>
    <t xml:space="preserve">P1-T1</t>
  </si>
  <si>
    <t xml:space="preserve">Scaffold Django + PostgreSQL (scram-sha-256, localhost bind, reverse proxy internal-CA TLS, hardened systemd unit)</t>
  </si>
  <si>
    <t xml:space="preserve">Annex G 5; Prelim 8</t>
  </si>
  <si>
    <t xml:space="preserve">P1-T2</t>
  </si>
  <si>
    <t xml:space="preserve">Annex C core entity models (operator, person, account, device, network_device_detail, office, secret, field_definition): UUIDv4, base mixin, enums</t>
  </si>
  <si>
    <t xml:space="preserve">Annex C 2, 3, 4, 9</t>
  </si>
  <si>
    <t xml:space="preserve">P1-T3</t>
  </si>
  <si>
    <t xml:space="preserve">Nine relationship join tables with FK integrity + partial unique indexes</t>
  </si>
  <si>
    <t xml:space="preserve">Annex C 5, 6</t>
  </si>
  <si>
    <t xml:space="preserve">P1-T4</t>
  </si>
  <si>
    <t xml:space="preserve">Session tables (operator_session, session_request)</t>
  </si>
  <si>
    <t xml:space="preserve">Annex C 4.3, 4.3b</t>
  </si>
  <si>
    <t xml:space="preserve">P1-T5</t>
  </si>
  <si>
    <t xml:space="preserve">Argon2id calibration on the real server (~4s target, 1-2 GiB, parallelism = cores)</t>
  </si>
  <si>
    <t xml:space="preserve">Annex A 5.1, 11</t>
  </si>
  <si>
    <t xml:space="preserve">Store params next to the wrapped MK for future recalibration</t>
  </si>
  <si>
    <t xml:space="preserve">P1-T6</t>
  </si>
  <si>
    <t xml:space="preserve">Envelope encryption passphrase-&gt;KWK-&gt;MK-&gt;DEK, XChaCha20-Poly1305 + AAD (PyNaCl, argon2-cffi)</t>
  </si>
  <si>
    <t xml:space="preserve">Annex A 3, 4, 11; Annex C 4.9</t>
  </si>
  <si>
    <t xml:space="preserve">P1-T7</t>
  </si>
  <si>
    <t xml:space="preserve">Vault second factor: TPM 2.0 sealing combined via HKDF (keyfile fallback)</t>
  </si>
  <si>
    <t xml:space="preserve">Annex A 5.2; Annex G 4</t>
  </si>
  <si>
    <t xml:space="preserve">P1-T6, P0-T6</t>
  </si>
  <si>
    <t xml:space="preserve">Per P-14, TPM path confirmed</t>
  </si>
  <si>
    <t xml:space="preserve">P1-T8</t>
  </si>
  <si>
    <t xml:space="preserve">Master key in memory: mlock, memzero on lock/logout/shutdown, idle auto-lock, no core dumps (Model A)</t>
  </si>
  <si>
    <t xml:space="preserve">Annex A 6, 7; Annex G 2</t>
  </si>
  <si>
    <t xml:space="preserve">See risk R-2</t>
  </si>
  <si>
    <t xml:space="preserve">P1-T9</t>
  </si>
  <si>
    <t xml:space="preserve">Per-administrator key wrapping: vault_key_holder table, enroll/remove + MK rotation</t>
  </si>
  <si>
    <t xml:space="preserve">Annex A 13</t>
  </si>
  <si>
    <t xml:space="preserve">Two admins, one MK wrapped per admin</t>
  </si>
  <si>
    <t xml:space="preserve">P1-T10</t>
  </si>
  <si>
    <t xml:space="preserve">Generate printed recovery key + safe-storage procedure (independent MK wrap)</t>
  </si>
  <si>
    <t xml:space="preserve">Annex A 8</t>
  </si>
  <si>
    <t xml:space="preserve">DR linchpin, see risk R-6</t>
  </si>
  <si>
    <t xml:space="preserve">P1-T11</t>
  </si>
  <si>
    <t xml:space="preserve">Audit schema (audit_entry, audit_checkpoint) + append-only DB role + BEFORE UPDATE/DELETE trigger</t>
  </si>
  <si>
    <t xml:space="preserve">Annex B 4, 5; Annex G 5</t>
  </si>
  <si>
    <t xml:space="preserve">P1-T12</t>
  </si>
  <si>
    <t xml:space="preserve">Hash chain: BLAKE2b-256, canonical length-prefixed payload, same-transaction insert, advisory-lock ordering</t>
  </si>
  <si>
    <t xml:space="preserve">Annex B 3, 5</t>
  </si>
  <si>
    <t xml:space="preserve">See risk R-3</t>
  </si>
  <si>
    <t xml:space="preserve">P1-T13</t>
  </si>
  <si>
    <t xml:space="preserve">Chain verification (walk + anchor check) + signed checkpoint via Admin WebAuthn signing</t>
  </si>
  <si>
    <t xml:space="preserve">Annex B 7; Annex G 7</t>
  </si>
  <si>
    <t xml:space="preserve">P1-T12, P1-T9</t>
  </si>
  <si>
    <t xml:space="preserve">P1-T14</t>
  </si>
  <si>
    <t xml:space="preserve">Off-box checkpoint anchoring to the separate host (append-only) + printed-copy procedure</t>
  </si>
  <si>
    <t xml:space="preserve">Annex G 7; Annex B 2</t>
  </si>
  <si>
    <t xml:space="preserve">P1-T13, P0-T9</t>
  </si>
  <si>
    <t xml:space="preserve">Resists a malicious admin, see risk R-7</t>
  </si>
  <si>
    <t xml:space="preserve">P1-T15</t>
  </si>
  <si>
    <t xml:space="preserve">Operator auth: login password (Argon2id hash), WebAuthn (py_webauthn) + TOTP (pyotp)</t>
  </si>
  <si>
    <t xml:space="preserve">Annex D 1, 2; Annex C 4.1, 4.2; Prelim 6</t>
  </si>
  <si>
    <t xml:space="preserve">P1-T1, P1-T2</t>
  </si>
  <si>
    <t xml:space="preserve">Login independent of M365/Entra</t>
  </si>
  <si>
    <t xml:space="preserve">P1-T16</t>
  </si>
  <si>
    <t xml:space="preserve">Single active session via advisory lock; Viewer session never unlocks the MK</t>
  </si>
  <si>
    <t xml:space="preserve">Annex D 2, 8; Annex C 4.3</t>
  </si>
  <si>
    <t xml:space="preserve">P1-T4, P1-T15</t>
  </si>
  <si>
    <t xml:space="preserve">Keyless Viewer is a cryptographic fact, not just policy</t>
  </si>
  <si>
    <t xml:space="preserve">P1-T17</t>
  </si>
  <si>
    <t xml:space="preserve">Step-up reauth framework (per-action + windowed ~2 min) + idle auto-lock</t>
  </si>
  <si>
    <t xml:space="preserve">Annex D 6</t>
  </si>
  <si>
    <t xml:space="preserve">P1-T15, P1-T8</t>
  </si>
  <si>
    <t xml:space="preserve">Reauth</t>
  </si>
  <si>
    <t xml:space="preserve">Confirm window length (P7-T4)</t>
  </si>
  <si>
    <t xml:space="preserve">P1-T18</t>
  </si>
  <si>
    <t xml:space="preserve">Session handover hybrid B+C: idle-yield 120s, grace 300s, extend +600s, release-now, depleting-bar cue</t>
  </si>
  <si>
    <t xml:space="preserve">Annex D 8 (chosen config); Annex C 4.3b</t>
  </si>
  <si>
    <t xml:space="preserve">Release-now locked first 5s; amber &lt;60s, red &lt;20s</t>
  </si>
  <si>
    <t xml:space="preserve">P1-T19</t>
  </si>
  <si>
    <t xml:space="preserve">Thin vertical slice: one entity + one secret + one logged change + one login, end to end</t>
  </si>
  <si>
    <t xml:space="preserve">Annex I 3 (Phase 1)</t>
  </si>
  <si>
    <t xml:space="preserve">P1-T6, P1-T12, P1-T15, P1-T16</t>
  </si>
  <si>
    <t xml:space="preserve">Flushes out the two riskiest areas early (R-1)</t>
  </si>
  <si>
    <t xml:space="preserve">P1-T20</t>
  </si>
  <si>
    <t xml:space="preserve">[VERIFY] Spine test pass: chain verifies; MK absent from disk/swap/core; Viewer cannot decrypt</t>
  </si>
  <si>
    <t xml:space="preserve">Annex I 4, 5</t>
  </si>
  <si>
    <t xml:space="preserve">[VERIFY]</t>
  </si>
  <si>
    <t xml:space="preserve">Do not fan out until this passes</t>
  </si>
  <si>
    <t xml:space="preserve">P2-T1</t>
  </si>
  <si>
    <t xml:space="preserve">Daily pg_dump on a timer; asymmetric encrypt at rest (age/gpg), public key on server</t>
  </si>
  <si>
    <t xml:space="preserve">Annex H 3</t>
  </si>
  <si>
    <t xml:space="preserve">No WAL in v1 per P-15; revisit if RPO tightens</t>
  </si>
  <si>
    <t xml:space="preserve">P2-T2</t>
  </si>
  <si>
    <t xml:space="preserve">Three destinations: separate host (copy 1), second host/NAS (copy 2), offsite office over MikroTik tunnel (copy 3)</t>
  </si>
  <si>
    <t xml:space="preserve">Annex H 4</t>
  </si>
  <si>
    <t xml:space="preserve">P2-T1, P0-T9</t>
  </si>
  <si>
    <t xml:space="preserve">3-2-1, all copies encrypted; offsite office to specify</t>
  </si>
  <si>
    <t xml:space="preserve">P2-T3</t>
  </si>
  <si>
    <t xml:space="preserve">Keep private key / recovery key / keyfile in the safe, never with the backups</t>
  </si>
  <si>
    <t xml:space="preserve">Annex H 5</t>
  </si>
  <si>
    <t xml:space="preserve">See risk R-6</t>
  </si>
  <si>
    <t xml:space="preserve">P2-T4</t>
  </si>
  <si>
    <t xml:space="preserve">Retention GFS: daily 14d, weekly 8w, monthly 12m; chain never pruned</t>
  </si>
  <si>
    <t xml:space="preserve">Annex H 6</t>
  </si>
  <si>
    <t xml:space="preserve">P2-T5</t>
  </si>
  <si>
    <t xml:space="preserve">Backup monitoring: success/failure logged + shipped to the separate host; seed backup_overdue alert</t>
  </si>
  <si>
    <t xml:space="preserve">Annex H 10</t>
  </si>
  <si>
    <t xml:space="preserve">P2-T1, P1-T14</t>
  </si>
  <si>
    <t xml:space="preserve">Natural addition to the Annex E catalog</t>
  </si>
  <si>
    <t xml:space="preserve">P2-T6</t>
  </si>
  <si>
    <t xml:space="preserve">[GATE] First restore dry run to an isolated env: DB loads, chain verifies, a secret decrypts via the recovery-key path</t>
  </si>
  <si>
    <t xml:space="preserve">Annex H 8, 9</t>
  </si>
  <si>
    <t xml:space="preserve">P2-T1, P2-T3, P1-T13</t>
  </si>
  <si>
    <t xml:space="preserve">[GATE]</t>
  </si>
  <si>
    <t xml:space="preserve">NO REAL SECRETS until this passes (R-4)</t>
  </si>
  <si>
    <t xml:space="preserve">P3-T1</t>
  </si>
  <si>
    <t xml:space="preserve">CRUD + forms for person, account, device, office (+ network_device_detail)</t>
  </si>
  <si>
    <t xml:space="preserve">Annex C 4; Prelim 3</t>
  </si>
  <si>
    <t xml:space="preserve">P3-T2</t>
  </si>
  <si>
    <t xml:space="preserve">Relationship UI: create/end typed links from any entity page (find, pick type, save)</t>
  </si>
  <si>
    <t xml:space="preserve">Annex C 5; Prelim 4</t>
  </si>
  <si>
    <t xml:space="preserve">P1-T3, P3-T1</t>
  </si>
  <si>
    <t xml:space="preserve">Speed of relating is a core requirement</t>
  </si>
  <si>
    <t xml:space="preserve">P3-T3</t>
  </si>
  <si>
    <t xml:space="preserve">State machines per entity + no-hard-delete (terminal states only)</t>
  </si>
  <si>
    <t xml:space="preserve">Annex C 1, 3</t>
  </si>
  <si>
    <t xml:space="preserve">Preserves the audit chain</t>
  </si>
  <si>
    <t xml:space="preserve">P3-T4</t>
  </si>
  <si>
    <t xml:space="preserve">Custom fields: field_definition admin + typed rendering + viewer_visible</t>
  </si>
  <si>
    <t xml:space="preserve">Annex C 4.10, 9; Annex D 5</t>
  </si>
  <si>
    <t xml:space="preserve">P3-T5</t>
  </si>
  <si>
    <t xml:space="preserve">Responsive HTMX UI + list/search</t>
  </si>
  <si>
    <t xml:space="preserve">Prelim 8; Annex D 4</t>
  </si>
  <si>
    <t xml:space="preserve">P3-T6</t>
  </si>
  <si>
    <t xml:space="preserve">Wire writes to the audit chain + read-logging granularity (record_view/list_view/search; no pagination)</t>
  </si>
  <si>
    <t xml:space="preserve">Annex B 6; Annex D 6</t>
  </si>
  <si>
    <t xml:space="preserve">P1-T12, P3-T1</t>
  </si>
  <si>
    <t xml:space="preserve">Implements D-24 read logging</t>
  </si>
  <si>
    <t xml:space="preserve">P3-T7</t>
  </si>
  <si>
    <t xml:space="preserve">Field-level permissions + serializer masking; server-side action matrix</t>
  </si>
  <si>
    <t xml:space="preserve">Annex D 3, 4, 5, 9</t>
  </si>
  <si>
    <t xml:space="preserve">P3-T1, P1-T17</t>
  </si>
  <si>
    <t xml:space="preserve">Server is the boundary, UI masking is presentation only</t>
  </si>
  <si>
    <t xml:space="preserve">P3-T8</t>
  </si>
  <si>
    <t xml:space="preserve">[VERIFY] Audit coverage check + Viewer masking holds server-side</t>
  </si>
  <si>
    <t xml:space="preserve">Annex B 6; Annex D 9</t>
  </si>
  <si>
    <t xml:space="preserve">P3-T6, P3-T7</t>
  </si>
  <si>
    <t xml:space="preserve">P4-T1</t>
  </si>
  <si>
    <t xml:space="preserve">Secret store UI: create a secret per kind, AAD bound to the record</t>
  </si>
  <si>
    <t xml:space="preserve">Annex A 3, 10; Annex C 4.9; Annex D 4</t>
  </si>
  <si>
    <t xml:space="preserve">P1-T6, P3-T1</t>
  </si>
  <si>
    <t xml:space="preserve">P4-T2</t>
  </si>
  <si>
    <t xml:space="preserve">Reveal flow: step-up reauth (no cache) + reason, transient display, clipboard auto-clear, never logged/cached</t>
  </si>
  <si>
    <t xml:space="preserve">Annex D 6, 7; Annex A 6</t>
  </si>
  <si>
    <t xml:space="preserve">P1-T8, P1-T17, P4-T1</t>
  </si>
  <si>
    <t xml:space="preserve">P4-T3</t>
  </si>
  <si>
    <t xml:space="preserve">Rotation: new DEK + ciphertext, last_rotated_at; secret_rotate logged</t>
  </si>
  <si>
    <t xml:space="preserve">Annex A 9; Annex C 4.9</t>
  </si>
  <si>
    <t xml:space="preserve">P4-T4</t>
  </si>
  <si>
    <t xml:space="preserve">Viewer masking backed by the keyless session (cryptographic, not just policy)</t>
  </si>
  <si>
    <t xml:space="preserve">Annex D 2, 5</t>
  </si>
  <si>
    <t xml:space="preserve">P4-T5</t>
  </si>
  <si>
    <t xml:space="preserve">Secret audit coverage (create/rotate/reveal/state_change, non-sensitive facts only)</t>
  </si>
  <si>
    <t xml:space="preserve">Annex B 6</t>
  </si>
  <si>
    <t xml:space="preserve">P1-T12, P4-T1</t>
  </si>
  <si>
    <t xml:space="preserve">Never the plaintext, never full ciphertext</t>
  </si>
  <si>
    <t xml:space="preserve">P4-T6</t>
  </si>
  <si>
    <t xml:space="preserve">[GATE] Recovery-key reveal path validated end to end</t>
  </si>
  <si>
    <t xml:space="preserve">Annex A 8; Annex H 7, 9</t>
  </si>
  <si>
    <t xml:space="preserve">P4-T2, P2-T6</t>
  </si>
  <si>
    <t xml:space="preserve">Pairs with P2-T6 to release real secrets (R-4)</t>
  </si>
  <si>
    <t xml:space="preserve">P5-T1</t>
  </si>
  <si>
    <t xml:space="preserve">integration table + scheduler (per-interval runs, last_run_at/last_status)</t>
  </si>
  <si>
    <t xml:space="preserve">Annex F 2</t>
  </si>
  <si>
    <t xml:space="preserve">P5-T2</t>
  </si>
  <si>
    <t xml:space="preserve">Graph app registration (app-only, certificate auth), read-only scopes (User.Read.All + AuditLog.Read.All / UserAuthenticationMethod.Read.All); cert as a secret</t>
  </si>
  <si>
    <t xml:space="preserve">Annex F 3; Annex G 6</t>
  </si>
  <si>
    <t xml:space="preserve">P5-T1, P4-T1</t>
  </si>
  <si>
    <t xml:space="preserve">No write scopes requested at all (R-5)</t>
  </si>
  <si>
    <t xml:space="preserve">P5-T3</t>
  </si>
  <si>
    <t xml:space="preserve">Graph MFA pull daily: userRegistrationDetails -&gt; account.mfa_state/mfa_types; match by external_id; surface unmatched</t>
  </si>
  <si>
    <t xml:space="preserve">Annex F 3, 8</t>
  </si>
  <si>
    <t xml:space="preserve">Idempotent, never deletes</t>
  </si>
  <si>
    <t xml:space="preserve">P5-T4</t>
  </si>
  <si>
    <t xml:space="preserve">Network monitoring: WatchGuard SNMPv3, MikroTik RouterOS API/TLS or SNMP, UniFi controller API/HTTPS; creds as secrets; 5-min cadence</t>
  </si>
  <si>
    <t xml:space="preserve">Annex F 4, 7</t>
  </si>
  <si>
    <t xml:space="preserve">5-min cadence makes E-9 offline = 3 missed polls</t>
  </si>
  <si>
    <t xml:space="preserve">P5-T5</t>
  </si>
  <si>
    <t xml:space="preserve">Telemetry table + transition-only chaining; live network_device_detail update</t>
  </si>
  <si>
    <t xml:space="preserve">Annex F 6; Annex B 5</t>
  </si>
  <si>
    <t xml:space="preserve">P5-T4, P1-T12</t>
  </si>
  <si>
    <t xml:space="preserve">Raw telemetry stays off the audit chain</t>
  </si>
  <si>
    <t xml:space="preserve">P5-T6</t>
  </si>
  <si>
    <t xml:space="preserve">[VERIFY] Read-only proof: no write scopes, egress limited to Graph + gear, telemetry off-chain</t>
  </si>
  <si>
    <t xml:space="preserve">Annex F 1, 7; Annex I 5</t>
  </si>
  <si>
    <t xml:space="preserve">P5-T3, P5-T5</t>
  </si>
  <si>
    <t xml:space="preserve">P6-T1</t>
  </si>
  <si>
    <t xml:space="preserve">alert + setting tables; idempotent eval keyed by (rule_id, target); system actor reads not logged</t>
  </si>
  <si>
    <t xml:space="preserve">Annex E 3, 4</t>
  </si>
  <si>
    <t xml:space="preserve">P6-T2</t>
  </si>
  <si>
    <t xml:space="preserve">Scheduled evaluator (eval_interval default 15) + on-demand dashboard refresh</t>
  </si>
  <si>
    <t xml:space="preserve">Annex E 3</t>
  </si>
  <si>
    <t xml:space="preserve">P6-T3</t>
  </si>
  <si>
    <t xml:space="preserve">Implement the 13 rules E-1..E-13 over the relationship graph</t>
  </si>
  <si>
    <t xml:space="preserve">Annex E 6; Annex C 7</t>
  </si>
  <si>
    <t xml:space="preserve">P6-T1, P3-T2, P5-T5</t>
  </si>
  <si>
    <t xml:space="preserve">E-1 scope = phones+tablets+laptops (P-13). E-1 reads account_device_config (Annex C); fix Annex E wording 'account_configured_on_device'</t>
  </si>
  <si>
    <t xml:space="preserve">P6-T4</t>
  </si>
  <si>
    <t xml:space="preserve">Auto-resolve + rotation-evidence exceptions (account_compromised, needs_rotation)</t>
  </si>
  <si>
    <t xml:space="preserve">Annex E 3, 6</t>
  </si>
  <si>
    <t xml:space="preserve">P6-T3, P4-T3</t>
  </si>
  <si>
    <t xml:space="preserve">P6-T5</t>
  </si>
  <si>
    <t xml:space="preserve">Dashboard: severity grouping, acknowledge w/ note (Admin), filters, entity links</t>
  </si>
  <si>
    <t xml:space="preserve">Annex E 7; Annex D 4</t>
  </si>
  <si>
    <t xml:space="preserve">Viewer sees all, cannot acknowledge</t>
  </si>
  <si>
    <t xml:space="preserve">P6-T6</t>
  </si>
  <si>
    <t xml:space="preserve">Integrity strip + E-13 self-monitoring ('verified through seq N, last checkpoint at T')</t>
  </si>
  <si>
    <t xml:space="preserve">Annex E 7, 8; Annex B 7</t>
  </si>
  <si>
    <t xml:space="preserve">P6-T3, P1-T13</t>
  </si>
  <si>
    <t xml:space="preserve">Makes the audit log watch itself</t>
  </si>
  <si>
    <t xml:space="preserve">P6-T7</t>
  </si>
  <si>
    <t xml:space="preserve">Thresholds in the setting table, Admin-editable + parameter_change logged</t>
  </si>
  <si>
    <t xml:space="preserve">Annex E 5; Annex D 4</t>
  </si>
  <si>
    <t xml:space="preserve">Defaults per P-13</t>
  </si>
  <si>
    <t xml:space="preserve">P6-T8</t>
  </si>
  <si>
    <t xml:space="preserve">[VERIFY] Rule-firing tests incl. E-1 on seeded data; alert state changes logged, eval reads not</t>
  </si>
  <si>
    <t xml:space="preserve">Annex E 8; Annex I 4</t>
  </si>
  <si>
    <t xml:space="preserve">P6-T3, P5-T5</t>
  </si>
  <si>
    <t xml:space="preserve">P7-T1</t>
  </si>
  <si>
    <t xml:space="preserve">[GATE] Full DR drill to new hardware: provision, restore offsite backup, unlock via recovery key, re-seal TPM, re-enroll admins, re-point integrations, verify chain</t>
  </si>
  <si>
    <t xml:space="preserve">Annex H 7, 8; Annex G 9</t>
  </si>
  <si>
    <t xml:space="preserve">P2-T6, P4-T6</t>
  </si>
  <si>
    <t xml:space="preserve">The recovery key is the single linchpin (R-6)</t>
  </si>
  <si>
    <t xml:space="preserve">P7-T2</t>
  </si>
  <si>
    <t xml:space="preserve">Security pass: egress, role/field matrix, Viewer export block, single session</t>
  </si>
  <si>
    <t xml:space="preserve">Annex D 4, 9; Annex F 7; Annex G 1, 8; Annex I 5</t>
  </si>
  <si>
    <t xml:space="preserve">P3-T8, P4-T6, P5-T6, P6-T8</t>
  </si>
  <si>
    <t xml:space="preserve">P7-T3</t>
  </si>
  <si>
    <t xml:space="preserve">Handover polish + countdown QA (amber &lt;60s, red &lt;20s, release locked first 5s)</t>
  </si>
  <si>
    <t xml:space="preserve">Annex D 8</t>
  </si>
  <si>
    <t xml:space="preserve">P7-T4</t>
  </si>
  <si>
    <t xml:space="preserve">Confirm reauth window (2 min default) + idle auto-lock alignment</t>
  </si>
  <si>
    <t xml:space="preserve">Annex D 6, 10</t>
  </si>
  <si>
    <t xml:space="preserve">Annex D open point 4/5</t>
  </si>
  <si>
    <t xml:space="preserve">P7-T5</t>
  </si>
  <si>
    <t xml:space="preserve">[GATE] Load real data + go live</t>
  </si>
  <si>
    <t xml:space="preserve">Annex I 3 (Phase 7), 4</t>
  </si>
  <si>
    <t xml:space="preserve">P7-T1, P7-T2</t>
  </si>
  <si>
    <t xml:space="preserve">Only after the DR drill + recovery-key path pass (R-4)</t>
  </si>
  <si>
    <t xml:space="preserve">P7-T6</t>
  </si>
  <si>
    <t xml:space="preserve">[VERIFY] v1 definition-of-done checklist signed off</t>
  </si>
  <si>
    <t xml:space="preserve">Annex I 4</t>
  </si>
  <si>
    <t xml:space="preserve">P7-T1, P7-T2, P7-T3, P7-T5</t>
  </si>
  <si>
    <t xml:space="preserve">ID</t>
  </si>
  <si>
    <t xml:space="preserve">Risk</t>
  </si>
  <si>
    <t xml:space="preserve">Source</t>
  </si>
  <si>
    <t xml:space="preserve">Severity</t>
  </si>
  <si>
    <t xml:space="preserve">Mitigation</t>
  </si>
  <si>
    <t xml:space="preserve">Phase(s)</t>
  </si>
  <si>
    <t xml:space="preserve">R-1</t>
  </si>
  <si>
    <t xml:space="preserve">Phase 1 is the long pole and the riskiest part of the build</t>
  </si>
  <si>
    <t xml:space="preserve">Annex I 5</t>
  </si>
  <si>
    <t xml:space="preserve">High</t>
  </si>
  <si>
    <t xml:space="preserve">Build the thin vertical slice first to flush out spine issues early; do not fan out until P1-T20 passes</t>
  </si>
  <si>
    <t xml:space="preserve">R-2</t>
  </si>
  <si>
    <t xml:space="preserve">Master key exposed by a memory dump while a session is open (Model A)</t>
  </si>
  <si>
    <t xml:space="preserve">Annex A 6; Annex I 5</t>
  </si>
  <si>
    <t xml:space="preserve">mlock + memzero on lock/logout/shutdown, idle auto-lock, swap off/encrypted, core dumps disabled</t>
  </si>
  <si>
    <t xml:space="preserve">R-3</t>
  </si>
  <si>
    <t xml:space="preserve">Audit chain ordering breaks under concurrent monitoring writes</t>
  </si>
  <si>
    <t xml:space="preserve">Annex B 5; Annex I 5</t>
  </si>
  <si>
    <t xml:space="preserve">Advisory-lock serialization, same-transaction insert, gap-free seq; prove it in the slice</t>
  </si>
  <si>
    <t xml:space="preserve">R-4</t>
  </si>
  <si>
    <t xml:space="preserve">Real secrets loaded before backup + recovery are proven (data could be unrecoverable)</t>
  </si>
  <si>
    <t xml:space="preserve">Annex I 5; project rule</t>
  </si>
  <si>
    <t xml:space="preserve">Critical</t>
  </si>
  <si>
    <t xml:space="preserve">HARD GATE: no real secrets until P2-T6 restore dry run AND P4-T6 recovery-key path both pass; final release at P7-T5</t>
  </si>
  <si>
    <t xml:space="preserve">2,4,7</t>
  </si>
  <si>
    <t xml:space="preserve">R-5</t>
  </si>
  <si>
    <t xml:space="preserve">Integration scope creep from read-only to writing M365 or the gear</t>
  </si>
  <si>
    <t xml:space="preserve">Annex I 5; Annex F 1</t>
  </si>
  <si>
    <t xml:space="preserve">Request read-only scopes only, no write permissions, egress firewalled; hold the line in v1</t>
  </si>
  <si>
    <t xml:space="preserve">R-6</t>
  </si>
  <si>
    <t xml:space="preserve">Lockout: the printed recovery key is the single DR linchpin</t>
  </si>
  <si>
    <t xml:space="preserve">Annex A 8; Annex G 9; Annex H 7</t>
  </si>
  <si>
    <t xml:space="preserve">Printed recovery key in the safe, tested before go-live + quarterly; private key/keyfile in the safe, never with backups</t>
  </si>
  <si>
    <t xml:space="preserve">0,2,7</t>
  </si>
  <si>
    <t xml:space="preserve">R-7</t>
  </si>
  <si>
    <t xml:space="preserve">Malicious-admin tampering: a hash chain alone is detection-only</t>
  </si>
  <si>
    <t xml:space="preserve">Annex B 2</t>
  </si>
  <si>
    <t xml:space="preserve">Medium-High</t>
  </si>
  <si>
    <t xml:space="preserve">Signed off-box checkpoints via Admin WebAuthn signing + printed copies on an append-only host</t>
  </si>
  <si>
    <t xml:space="preserve">1,7</t>
  </si>
  <si>
    <t xml:space="preserve">R-8</t>
  </si>
  <si>
    <t xml:space="preserve">TPM hardware binding could block unlock on server failure</t>
  </si>
  <si>
    <t xml:space="preserve">Annex G 4, 9</t>
  </si>
  <si>
    <t xml:space="preserve">Medium</t>
  </si>
  <si>
    <t xml:space="preserve">Recovery-key path to new hardware + re-seal to the new TPM; keyfile fallback documented</t>
  </si>
  <si>
    <t xml:space="preserve">2,7</t>
  </si>
  <si>
    <t xml:space="preserve">Topic</t>
  </si>
  <si>
    <t xml:space="preserve">Decision / value</t>
  </si>
  <si>
    <t xml:space="preserve">Default was</t>
  </si>
  <si>
    <t xml:space="preserve">P-13</t>
  </si>
  <si>
    <t xml:space="preserve">Alert thresholds + E-1 unrecoverable device scope</t>
  </si>
  <si>
    <t xml:space="preserve">E-1 covers phones, tablets, and laptops; other thresholds keep Annex E 5 defaults (tunable in setting table)</t>
  </si>
  <si>
    <t xml:space="preserve">phones only</t>
  </si>
  <si>
    <t xml:space="preserve">Confirmed (your choice)</t>
  </si>
  <si>
    <t xml:space="preserve">P-14a</t>
  </si>
  <si>
    <t xml:space="preserve">TPM 2.0 presence -&gt; vault second factor + disk unlock</t>
  </si>
  <si>
    <t xml:space="preserve">TPM 2.0 present: TPM sealing as the vault factor, TPM + PIN for LUKS2</t>
  </si>
  <si>
    <t xml:space="preserve">TPM + PIN</t>
  </si>
  <si>
    <t xml:space="preserve">Confirmed</t>
  </si>
  <si>
    <t xml:space="preserve">Annex G 3, 4</t>
  </si>
  <si>
    <t xml:space="preserve">P-14b</t>
  </si>
  <si>
    <t xml:space="preserve">Separate anchoring / log / backup host</t>
  </si>
  <si>
    <t xml:space="preserve">Decide in Phase 0; provision a small one if none exists</t>
  </si>
  <si>
    <t xml:space="preserve">provision if absent</t>
  </si>
  <si>
    <t xml:space="preserve">Open (Phase 0, P0-T9)</t>
  </si>
  <si>
    <t xml:space="preserve">P-14c</t>
  </si>
  <si>
    <t xml:space="preserve">Disk unlock mode</t>
  </si>
  <si>
    <t xml:space="preserve">TPM + PIN (follows from TPM present)</t>
  </si>
  <si>
    <t xml:space="preserve">Confirmed (default)</t>
  </si>
  <si>
    <t xml:space="preserve">P-15a</t>
  </si>
  <si>
    <t xml:space="preserve">RPO target</t>
  </si>
  <si>
    <t xml:space="preserve">Daily encrypted dumps, 24h RPO. No WAL archiving in v1</t>
  </si>
  <si>
    <t xml:space="preserve">daily</t>
  </si>
  <si>
    <t xml:space="preserve">Annex H 3, 11</t>
  </si>
  <si>
    <t xml:space="preserve">P-15b</t>
  </si>
  <si>
    <t xml:space="preserve">Offsite office (replication target)</t>
  </si>
  <si>
    <t xml:space="preserve">To specify which office is the tunnel target</t>
  </si>
  <si>
    <t xml:space="preserve">Open (Phase 0, P0-T3)</t>
  </si>
  <si>
    <t xml:space="preserve">Annex H 4, 11</t>
  </si>
  <si>
    <t xml:space="preserve">P-15c</t>
  </si>
  <si>
    <t xml:space="preserve">Drill cadence</t>
  </si>
  <si>
    <t xml:space="preserve">Quarterly restore drill including the recovery-key path</t>
  </si>
  <si>
    <t xml:space="preserve">quarterly</t>
  </si>
  <si>
    <t xml:space="preserve">Annex H 9, 11</t>
  </si>
  <si>
    <t xml:space="preserve">(D-side)</t>
  </si>
  <si>
    <t xml:space="preserve">Reauth window + idle auto-lock alignment</t>
  </si>
  <si>
    <t xml:space="preserve">2 min windowed reauth is a starting value; confirm and align idle auto-lock</t>
  </si>
  <si>
    <t xml:space="preserve">2 min</t>
  </si>
  <si>
    <t xml:space="preserve">Open (confirm, P7-T4)</t>
  </si>
  <si>
    <t xml:space="preserve">Locked decisions, from Master Index section 3. Reference only - treat as settled.</t>
  </si>
  <si>
    <t xml:space="preserve">Decision</t>
  </si>
  <si>
    <t xml:space="preserve">D-01</t>
  </si>
  <si>
    <t xml:space="preserve">Build approach</t>
  </si>
  <si>
    <t xml:space="preserve">100% in-house, a single application</t>
  </si>
  <si>
    <t xml:space="preserve">D-02</t>
  </si>
  <si>
    <t xml:space="preserve">Cost</t>
  </si>
  <si>
    <t xml:space="preserve">Zero. Free software only, no paid services or third parties</t>
  </si>
  <si>
    <t xml:space="preserve">D-03</t>
  </si>
  <si>
    <t xml:space="preserve">v1 scope</t>
  </si>
  <si>
    <t xml:space="preserve">Record, report, and query only. No advanced operations</t>
  </si>
  <si>
    <t xml:space="preserve">D-04</t>
  </si>
  <si>
    <t xml:space="preserve">Secret storage</t>
  </si>
  <si>
    <t xml:space="preserve">Encrypted field inside the same PostgreSQL. No external vault</t>
  </si>
  <si>
    <t xml:space="preserve">D-05</t>
  </si>
  <si>
    <t xml:space="preserve">Data encryption</t>
  </si>
  <si>
    <t xml:space="preserve">XChaCha20-Poly1305, 256-bit, AAD bound to the record</t>
  </si>
  <si>
    <t xml:space="preserve">D-06</t>
  </si>
  <si>
    <t xml:space="preserve">Key derivation</t>
  </si>
  <si>
    <t xml:space="preserve">Argon2id, 1-2 GiB, calibrated to ~4s on the real server</t>
  </si>
  <si>
    <t xml:space="preserve">D-07</t>
  </si>
  <si>
    <t xml:space="preserve">Key hierarchy</t>
  </si>
  <si>
    <t xml:space="preserve">Envelope encryption: passphrase -&gt; KWK -&gt; MK -&gt; per-secret DEK</t>
  </si>
  <si>
    <t xml:space="preserve">D-08</t>
  </si>
  <si>
    <t xml:space="preserve">Second factor (partial)</t>
  </si>
  <si>
    <t xml:space="preserve">Key material outside the DB. WebAuthn PRF a future premium</t>
  </si>
  <si>
    <t xml:space="preserve">D-09</t>
  </si>
  <si>
    <t xml:space="preserve">Key in memory</t>
  </si>
  <si>
    <t xml:space="preserve">Model A: derive at unlock, MK in locked memory, idle auto-lock</t>
  </si>
  <si>
    <t xml:space="preserve">D-10</t>
  </si>
  <si>
    <t xml:space="preserve">Stack</t>
  </si>
  <si>
    <t xml:space="preserve">Django, PostgreSQL, HTMX, PyNaCl, argon2-cffi, pyotp, py_webauthn</t>
  </si>
  <si>
    <t xml:space="preserve">D-11</t>
  </si>
  <si>
    <t xml:space="preserve">Roles and session</t>
  </si>
  <si>
    <t xml:space="preserve">Administrator and Viewer roles. One active session at a time</t>
  </si>
  <si>
    <t xml:space="preserve">D-12</t>
  </si>
  <si>
    <t xml:space="preserve">Login MFA</t>
  </si>
  <si>
    <t xml:space="preserve">Platform WebAuthn first, TOTP alternative. Hardware keys future</t>
  </si>
  <si>
    <t xml:space="preserve">D-13</t>
  </si>
  <si>
    <t xml:space="preserve">Integrations</t>
  </si>
  <si>
    <t xml:space="preserve">All read only. M365 Graph for users + MFA. Odoo/ZKBioTime deferred</t>
  </si>
  <si>
    <t xml:space="preserve">D-14</t>
  </si>
  <si>
    <t xml:space="preserve">Hosting and access</t>
  </si>
  <si>
    <t xml:space="preserve">Local server, no internet exposure, remote via VPN only</t>
  </si>
  <si>
    <t xml:space="preserve">D-15</t>
  </si>
  <si>
    <t xml:space="preserve">Audit log (concept)</t>
  </si>
  <si>
    <t xml:space="preserve">Append-only, hash chained, with who/when/what</t>
  </si>
  <si>
    <t xml:space="preserve">D-16</t>
  </si>
  <si>
    <t xml:space="preserve">Backup (concept)</t>
  </si>
  <si>
    <t xml:space="preserve">Encrypted pg_dump, own + offsite copy, tested restore</t>
  </si>
  <si>
    <t xml:space="preserve">D-17</t>
  </si>
  <si>
    <t xml:space="preserve">Anti-lockout recovery</t>
  </si>
  <si>
    <t xml:space="preserve">Printed recovery key in a safe, keyfile backup, Shamir optional</t>
  </si>
  <si>
    <t xml:space="preserve">D-18</t>
  </si>
  <si>
    <t xml:space="preserve">Plan format/language</t>
  </si>
  <si>
    <t xml:space="preserve">Modular markdown files, English</t>
  </si>
  <si>
    <t xml:space="preserve">D-19</t>
  </si>
  <si>
    <t xml:space="preserve">Primary keys</t>
  </si>
  <si>
    <t xml:space="preserve">UUID v4 for every table</t>
  </si>
  <si>
    <t xml:space="preserve">D-20</t>
  </si>
  <si>
    <t xml:space="preserve">Relationship modeling</t>
  </si>
  <si>
    <t xml:space="preserve">Explicit join tables with DB-enforced integrity</t>
  </si>
  <si>
    <t xml:space="preserve">D-21</t>
  </si>
  <si>
    <t xml:space="preserve">Multi-owner accounts</t>
  </si>
  <si>
    <t xml:space="preserve">Supported in v1 via account_ownership (primary or shared)</t>
  </si>
  <si>
    <t xml:space="preserve">D-22</t>
  </si>
  <si>
    <t xml:space="preserve">v1 scope trims</t>
  </si>
  <si>
    <t xml:space="preserve">Per-NIC detail, richer network detail, IPAM deferred to v2</t>
  </si>
  <si>
    <t xml:space="preserve">D-23</t>
  </si>
  <si>
    <t xml:space="preserve">Audit log design</t>
  </si>
  <si>
    <t xml:space="preserve">Append-only role+trigger, BLAKE2b-256 chain, same-tx writes, advisory lock, signed external checkpoints</t>
  </si>
  <si>
    <t xml:space="preserve">D-24</t>
  </si>
  <si>
    <t xml:space="preserve">Read logging</t>
  </si>
  <si>
    <t xml:space="preserve">Reads logged into the chain (record_view, list_view, search). Monitoring reads excluded</t>
  </si>
  <si>
    <t xml:space="preserve">D-25</t>
  </si>
  <si>
    <t xml:space="preserve">Permissions model</t>
  </si>
  <si>
    <t xml:space="preserve">Two roles. Viewer session never holds the MK. Step-up reauth. Single session</t>
  </si>
  <si>
    <t xml:space="preserve">D-26</t>
  </si>
  <si>
    <t xml:space="preserve">Administrators</t>
  </si>
  <si>
    <t xml:space="preserve">Two admins. One MK wrapped per admin (multi-recipient). Enroll/remove defined</t>
  </si>
  <si>
    <t xml:space="preserve">D-27</t>
  </si>
  <si>
    <t xml:space="preserve">Viewer exports</t>
  </si>
  <si>
    <t xml:space="preserve">Viewer fully blocked from exports</t>
  </si>
  <si>
    <t xml:space="preserve">D-28</t>
  </si>
  <si>
    <t xml:space="preserve">Session handover</t>
  </si>
  <si>
    <t xml:space="preserve">Hybrid B/C. Idle yield 120s, grace 300s, extend +600s, release now. Depleting bar</t>
  </si>
  <si>
    <t xml:space="preserve">D-29</t>
  </si>
  <si>
    <t xml:space="preserve">Alert engine</t>
  </si>
  <si>
    <t xml:space="preserve">13 rules, three severities, scheduled + on-demand, alert table, thresholds in setting</t>
  </si>
  <si>
    <t xml:space="preserve">D-30</t>
  </si>
  <si>
    <t xml:space="preserve">Integrations detail</t>
  </si>
  <si>
    <t xml:space="preserve">Graph app-only cert read-only daily; gear via SNMPv3/scoped APIs every 5 min</t>
  </si>
  <si>
    <t xml:space="preserve">D-31</t>
  </si>
  <si>
    <t xml:space="preserve">Hardening/deployment</t>
  </si>
  <si>
    <t xml:space="preserve">One internal server, no exposure, VPN+MFA, LUKS2 TPM+PIN, TPM-sealed vault factor, signed checkpoints off-box</t>
  </si>
  <si>
    <t xml:space="preserve">D-32</t>
  </si>
  <si>
    <t xml:space="preserve">Backup and recovery</t>
  </si>
  <si>
    <t xml:space="preserve">Daily encrypted pg_dump (optional WAL), asymmetric, 3 copies incl offsite. Recovery key is the linchpin</t>
  </si>
  <si>
    <t xml:space="preserve">D-33</t>
  </si>
  <si>
    <t xml:space="preserve">MVP scope and phases</t>
  </si>
  <si>
    <t xml:space="preserve">v1 record/report/query. Eight phases, security spine first via thin slice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</si>
</sst>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4E2C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2E5496"/>
        <bgColor rgb="FF1F3864"/>
      </patternFill>
    </fill>
    <fill>
      <patternFill patternType="solid">
        <fgColor rgb="FFFFC7CE"/>
        <bgColor rgb="FFEAD1DC"/>
      </patternFill>
    </fill>
    <fill>
      <patternFill patternType="solid">
        <fgColor rgb="FF1F3864"/>
        <bgColor rgb="FF1F4E2C"/>
      </patternFill>
    </fill>
    <fill>
      <patternFill patternType="solid">
        <fgColor rgb="FFDCE6F1"/>
        <bgColor rgb="FFDDEBF7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FC7CE"/>
      </patternFill>
    </fill>
    <fill>
      <patternFill patternType="solid">
        <fgColor rgb="FFDDEBF7"/>
        <bgColor rgb="FFDCE6F1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2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6F1"/>
      <rgbColor rgb="FFFCE4D6"/>
      <rgbColor rgb="FFE7E6E6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f aca="false">COUNTA(Tasks!A3:A1000)</f>
        <v>70</v>
      </c>
    </row>
    <row r="8" customFormat="false" ht="15" hidden="false" customHeight="false" outlineLevel="0" collapsed="false">
      <c r="A8" s="6" t="s">
        <v>6</v>
      </c>
      <c r="B8" s="7" t="n">
        <f aca="false">COUNTIF(Tasks!G3:G1000,"Done")</f>
        <v>1</v>
      </c>
    </row>
    <row r="9" customFormat="false" ht="15" hidden="false" customHeight="false" outlineLevel="0" collapsed="false">
      <c r="A9" s="6" t="s">
        <v>7</v>
      </c>
      <c r="B9" s="7" t="n">
        <f aca="false">COUNTIF(Tasks!G3:G1000,"In progress")</f>
        <v>2</v>
      </c>
    </row>
    <row r="10" customFormat="false" ht="15" hidden="false" customHeight="false" outlineLevel="0" collapsed="false">
      <c r="A10" s="6" t="s">
        <v>8</v>
      </c>
      <c r="B10" s="7" t="n">
        <f aca="false">COUNTIF(Tasks!G3:G1000,"Blocked")</f>
        <v>0</v>
      </c>
    </row>
    <row r="11" customFormat="false" ht="15" hidden="false" customHeight="false" outlineLevel="0" collapsed="false">
      <c r="A11" s="6" t="s">
        <v>9</v>
      </c>
      <c r="B11" s="7" t="n">
        <f aca="false">COUNTIF(Tasks!G3:G1000,"Not started")</f>
        <v>67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8" t="s">
        <v>11</v>
      </c>
      <c r="B14" s="8" t="s">
        <v>12</v>
      </c>
      <c r="C14" s="8" t="s">
        <v>13</v>
      </c>
      <c r="D14" s="8" t="s">
        <v>14</v>
      </c>
    </row>
    <row r="15" customFormat="false" ht="15" hidden="false" customHeight="false" outlineLevel="0" collapsed="false">
      <c r="A15" s="9" t="s">
        <v>15</v>
      </c>
      <c r="B15" s="10" t="s">
        <v>16</v>
      </c>
      <c r="C15" s="9" t="s">
        <v>17</v>
      </c>
      <c r="D15" s="9" t="s">
        <v>18</v>
      </c>
    </row>
    <row r="16" customFormat="false" ht="15" hidden="false" customHeight="false" outlineLevel="0" collapsed="false">
      <c r="A16" s="9" t="s">
        <v>19</v>
      </c>
      <c r="B16" s="10" t="s">
        <v>20</v>
      </c>
      <c r="C16" s="9" t="s">
        <v>15</v>
      </c>
      <c r="D16" s="9" t="s">
        <v>21</v>
      </c>
    </row>
    <row r="17" customFormat="false" ht="15" hidden="false" customHeight="false" outlineLevel="0" collapsed="false">
      <c r="A17" s="9" t="s">
        <v>22</v>
      </c>
      <c r="B17" s="10" t="s">
        <v>23</v>
      </c>
      <c r="C17" s="9" t="s">
        <v>19</v>
      </c>
      <c r="D17" s="9" t="s">
        <v>24</v>
      </c>
    </row>
    <row r="18" customFormat="false" ht="15" hidden="false" customHeight="false" outlineLevel="0" collapsed="false">
      <c r="A18" s="9" t="s">
        <v>25</v>
      </c>
      <c r="B18" s="10" t="s">
        <v>26</v>
      </c>
      <c r="C18" s="9" t="s">
        <v>19</v>
      </c>
      <c r="D18" s="9" t="s">
        <v>27</v>
      </c>
    </row>
    <row r="19" customFormat="false" ht="15" hidden="false" customHeight="false" outlineLevel="0" collapsed="false">
      <c r="A19" s="9" t="s">
        <v>28</v>
      </c>
      <c r="B19" s="10" t="s">
        <v>29</v>
      </c>
      <c r="C19" s="9" t="s">
        <v>30</v>
      </c>
      <c r="D19" s="9" t="s">
        <v>18</v>
      </c>
    </row>
    <row r="20" customFormat="false" ht="15" hidden="false" customHeight="false" outlineLevel="0" collapsed="false">
      <c r="A20" s="9" t="s">
        <v>31</v>
      </c>
      <c r="B20" s="10" t="s">
        <v>32</v>
      </c>
      <c r="C20" s="9" t="s">
        <v>25</v>
      </c>
      <c r="D20" s="9" t="s">
        <v>18</v>
      </c>
    </row>
    <row r="21" customFormat="false" ht="15" hidden="false" customHeight="false" outlineLevel="0" collapsed="false">
      <c r="A21" s="9" t="s">
        <v>33</v>
      </c>
      <c r="B21" s="10" t="s">
        <v>34</v>
      </c>
      <c r="C21" s="9" t="s">
        <v>35</v>
      </c>
      <c r="D21" s="9" t="s">
        <v>18</v>
      </c>
    </row>
    <row r="22" customFormat="false" ht="15" hidden="false" customHeight="false" outlineLevel="0" collapsed="false">
      <c r="A22" s="9" t="s">
        <v>36</v>
      </c>
      <c r="B22" s="10" t="s">
        <v>37</v>
      </c>
      <c r="C22" s="9" t="s">
        <v>38</v>
      </c>
      <c r="D22" s="9" t="s">
        <v>24</v>
      </c>
    </row>
    <row r="24" customFormat="false" ht="15" hidden="false" customHeight="false" outlineLevel="0" collapsed="false">
      <c r="A24" s="11" t="s">
        <v>39</v>
      </c>
      <c r="B24" s="11"/>
      <c r="C24" s="11"/>
      <c r="D24" s="11"/>
    </row>
  </sheetData>
  <mergeCells count="1"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6" min="5" style="0" width="13"/>
  </cols>
  <sheetData>
    <row r="1" customFormat="false" ht="15" hidden="false" customHeight="false" outlineLevel="0" collapsed="false">
      <c r="A1" s="12" t="s">
        <v>11</v>
      </c>
      <c r="B1" s="12" t="s">
        <v>40</v>
      </c>
      <c r="C1" s="12" t="s">
        <v>41</v>
      </c>
      <c r="D1" s="12" t="s">
        <v>42</v>
      </c>
      <c r="E1" s="12" t="s">
        <v>13</v>
      </c>
      <c r="F1" s="12" t="s">
        <v>14</v>
      </c>
    </row>
    <row r="2" customFormat="false" ht="96" hidden="false" customHeight="true" outlineLevel="0" collapsed="false">
      <c r="A2" s="9" t="s">
        <v>43</v>
      </c>
      <c r="B2" s="10" t="s">
        <v>44</v>
      </c>
      <c r="C2" s="10" t="s">
        <v>45</v>
      </c>
      <c r="D2" s="10" t="s">
        <v>46</v>
      </c>
      <c r="E2" s="10" t="s">
        <v>17</v>
      </c>
      <c r="F2" s="9" t="s">
        <v>18</v>
      </c>
    </row>
    <row r="3" customFormat="false" ht="96" hidden="false" customHeight="true" outlineLevel="0" collapsed="false">
      <c r="A3" s="9" t="s">
        <v>47</v>
      </c>
      <c r="B3" s="10" t="s">
        <v>48</v>
      </c>
      <c r="C3" s="10" t="s">
        <v>49</v>
      </c>
      <c r="D3" s="10" t="s">
        <v>50</v>
      </c>
      <c r="E3" s="10" t="s">
        <v>43</v>
      </c>
      <c r="F3" s="9" t="s">
        <v>21</v>
      </c>
    </row>
    <row r="4" customFormat="false" ht="96" hidden="false" customHeight="true" outlineLevel="0" collapsed="false">
      <c r="A4" s="9" t="s">
        <v>51</v>
      </c>
      <c r="B4" s="10" t="s">
        <v>52</v>
      </c>
      <c r="C4" s="10" t="s">
        <v>53</v>
      </c>
      <c r="D4" s="10" t="s">
        <v>54</v>
      </c>
      <c r="E4" s="10" t="s">
        <v>47</v>
      </c>
      <c r="F4" s="9" t="s">
        <v>24</v>
      </c>
    </row>
    <row r="5" customFormat="false" ht="96" hidden="false" customHeight="true" outlineLevel="0" collapsed="false">
      <c r="A5" s="9" t="s">
        <v>55</v>
      </c>
      <c r="B5" s="10" t="s">
        <v>56</v>
      </c>
      <c r="C5" s="10" t="s">
        <v>57</v>
      </c>
      <c r="D5" s="10" t="s">
        <v>58</v>
      </c>
      <c r="E5" s="10" t="s">
        <v>47</v>
      </c>
      <c r="F5" s="9" t="s">
        <v>27</v>
      </c>
    </row>
    <row r="6" customFormat="false" ht="96" hidden="false" customHeight="true" outlineLevel="0" collapsed="false">
      <c r="A6" s="9" t="s">
        <v>59</v>
      </c>
      <c r="B6" s="10" t="s">
        <v>60</v>
      </c>
      <c r="C6" s="10" t="s">
        <v>61</v>
      </c>
      <c r="D6" s="10" t="s">
        <v>62</v>
      </c>
      <c r="E6" s="10" t="s">
        <v>63</v>
      </c>
      <c r="F6" s="9" t="s">
        <v>18</v>
      </c>
    </row>
    <row r="7" customFormat="false" ht="96" hidden="false" customHeight="true" outlineLevel="0" collapsed="false">
      <c r="A7" s="9" t="s">
        <v>64</v>
      </c>
      <c r="B7" s="10" t="s">
        <v>65</v>
      </c>
      <c r="C7" s="10" t="s">
        <v>66</v>
      </c>
      <c r="D7" s="10" t="s">
        <v>67</v>
      </c>
      <c r="E7" s="10" t="s">
        <v>55</v>
      </c>
      <c r="F7" s="9" t="s">
        <v>18</v>
      </c>
    </row>
    <row r="8" customFormat="false" ht="96" hidden="false" customHeight="true" outlineLevel="0" collapsed="false">
      <c r="A8" s="9" t="s">
        <v>68</v>
      </c>
      <c r="B8" s="10" t="s">
        <v>69</v>
      </c>
      <c r="C8" s="10" t="s">
        <v>70</v>
      </c>
      <c r="D8" s="10" t="s">
        <v>71</v>
      </c>
      <c r="E8" s="10" t="s">
        <v>72</v>
      </c>
      <c r="F8" s="9" t="s">
        <v>18</v>
      </c>
    </row>
    <row r="9" customFormat="false" ht="96" hidden="false" customHeight="true" outlineLevel="0" collapsed="false">
      <c r="A9" s="9" t="s">
        <v>73</v>
      </c>
      <c r="B9" s="10" t="s">
        <v>74</v>
      </c>
      <c r="C9" s="10" t="s">
        <v>75</v>
      </c>
      <c r="D9" s="10" t="s">
        <v>76</v>
      </c>
      <c r="E9" s="10" t="s">
        <v>38</v>
      </c>
      <c r="F9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3" t="s">
        <v>77</v>
      </c>
      <c r="B1" s="13"/>
      <c r="C1" s="13"/>
      <c r="D1" s="13"/>
      <c r="E1" s="13"/>
      <c r="F1" s="13"/>
      <c r="G1" s="13"/>
      <c r="H1" s="13"/>
      <c r="I1" s="13"/>
    </row>
    <row r="2" customFormat="false" ht="23.85" hidden="false" customHeight="false" outlineLevel="0" collapsed="false">
      <c r="A2" s="12" t="s">
        <v>78</v>
      </c>
      <c r="B2" s="12" t="s">
        <v>11</v>
      </c>
      <c r="C2" s="12" t="s">
        <v>79</v>
      </c>
      <c r="D2" s="12" t="s">
        <v>80</v>
      </c>
      <c r="E2" s="12" t="s">
        <v>13</v>
      </c>
      <c r="F2" s="12" t="s">
        <v>81</v>
      </c>
      <c r="G2" s="12" t="s">
        <v>82</v>
      </c>
      <c r="H2" s="12" t="s">
        <v>83</v>
      </c>
      <c r="I2" s="12" t="s">
        <v>84</v>
      </c>
    </row>
    <row r="3" customFormat="false" ht="35.05" hidden="false" customHeight="false" outlineLevel="0" collapsed="false">
      <c r="A3" s="9" t="s">
        <v>85</v>
      </c>
      <c r="B3" s="14" t="s">
        <v>43</v>
      </c>
      <c r="C3" s="10" t="s">
        <v>86</v>
      </c>
      <c r="D3" s="10" t="s">
        <v>87</v>
      </c>
      <c r="E3" s="10" t="s">
        <v>88</v>
      </c>
      <c r="F3" s="9" t="s">
        <v>89</v>
      </c>
      <c r="G3" s="9" t="s">
        <v>6</v>
      </c>
      <c r="H3" s="9"/>
      <c r="I3" s="10" t="s">
        <v>90</v>
      </c>
    </row>
    <row r="4" customFormat="false" ht="23.85" hidden="false" customHeight="false" outlineLevel="0" collapsed="false">
      <c r="A4" s="9" t="s">
        <v>91</v>
      </c>
      <c r="B4" s="14" t="s">
        <v>43</v>
      </c>
      <c r="C4" s="10" t="s">
        <v>92</v>
      </c>
      <c r="D4" s="10" t="s">
        <v>93</v>
      </c>
      <c r="E4" s="10" t="s">
        <v>88</v>
      </c>
      <c r="F4" s="9" t="s">
        <v>89</v>
      </c>
      <c r="G4" s="9" t="s">
        <v>7</v>
      </c>
      <c r="H4" s="9"/>
      <c r="I4" s="10" t="s">
        <v>94</v>
      </c>
    </row>
    <row r="5" customFormat="false" ht="23.85" hidden="false" customHeight="false" outlineLevel="0" collapsed="false">
      <c r="A5" s="9" t="s">
        <v>95</v>
      </c>
      <c r="B5" s="14" t="s">
        <v>43</v>
      </c>
      <c r="C5" s="10" t="s">
        <v>96</v>
      </c>
      <c r="D5" s="10" t="s">
        <v>97</v>
      </c>
      <c r="E5" s="10" t="s">
        <v>88</v>
      </c>
      <c r="F5" s="9" t="s">
        <v>89</v>
      </c>
      <c r="G5" s="9" t="s">
        <v>7</v>
      </c>
      <c r="H5" s="9"/>
      <c r="I5" s="10" t="s">
        <v>98</v>
      </c>
    </row>
    <row r="6" customFormat="false" ht="15" hidden="false" customHeight="false" outlineLevel="0" collapsed="false">
      <c r="A6" s="9" t="s">
        <v>99</v>
      </c>
      <c r="B6" s="14" t="s">
        <v>43</v>
      </c>
      <c r="C6" s="10" t="s">
        <v>100</v>
      </c>
      <c r="D6" s="10" t="s">
        <v>101</v>
      </c>
      <c r="E6" s="10" t="s">
        <v>102</v>
      </c>
      <c r="F6" s="9"/>
      <c r="G6" s="9" t="s">
        <v>9</v>
      </c>
      <c r="H6" s="9"/>
      <c r="I6" s="10" t="s">
        <v>103</v>
      </c>
    </row>
    <row r="7" customFormat="false" ht="35.05" hidden="false" customHeight="false" outlineLevel="0" collapsed="false">
      <c r="A7" s="9" t="s">
        <v>104</v>
      </c>
      <c r="B7" s="14" t="s">
        <v>43</v>
      </c>
      <c r="C7" s="10" t="s">
        <v>105</v>
      </c>
      <c r="D7" s="10" t="s">
        <v>106</v>
      </c>
      <c r="E7" s="10" t="s">
        <v>91</v>
      </c>
      <c r="F7" s="9"/>
      <c r="G7" s="9" t="s">
        <v>9</v>
      </c>
      <c r="H7" s="9"/>
      <c r="I7" s="10"/>
    </row>
    <row r="8" customFormat="false" ht="23.85" hidden="false" customHeight="false" outlineLevel="0" collapsed="false">
      <c r="A8" s="9" t="s">
        <v>107</v>
      </c>
      <c r="B8" s="14" t="s">
        <v>43</v>
      </c>
      <c r="C8" s="10" t="s">
        <v>108</v>
      </c>
      <c r="D8" s="10" t="s">
        <v>109</v>
      </c>
      <c r="E8" s="10" t="s">
        <v>110</v>
      </c>
      <c r="F8" s="9"/>
      <c r="G8" s="9" t="s">
        <v>9</v>
      </c>
      <c r="H8" s="9"/>
      <c r="I8" s="10" t="s">
        <v>111</v>
      </c>
    </row>
    <row r="9" customFormat="false" ht="23.85" hidden="false" customHeight="false" outlineLevel="0" collapsed="false">
      <c r="A9" s="9" t="s">
        <v>112</v>
      </c>
      <c r="B9" s="14" t="s">
        <v>43</v>
      </c>
      <c r="C9" s="10" t="s">
        <v>113</v>
      </c>
      <c r="D9" s="10" t="s">
        <v>114</v>
      </c>
      <c r="E9" s="10" t="s">
        <v>104</v>
      </c>
      <c r="F9" s="9"/>
      <c r="G9" s="9" t="s">
        <v>9</v>
      </c>
      <c r="H9" s="9"/>
      <c r="I9" s="10"/>
    </row>
    <row r="10" customFormat="false" ht="23.85" hidden="false" customHeight="false" outlineLevel="0" collapsed="false">
      <c r="A10" s="9" t="s">
        <v>115</v>
      </c>
      <c r="B10" s="14" t="s">
        <v>43</v>
      </c>
      <c r="C10" s="10" t="s">
        <v>116</v>
      </c>
      <c r="D10" s="10" t="s">
        <v>117</v>
      </c>
      <c r="E10" s="10" t="s">
        <v>112</v>
      </c>
      <c r="F10" s="9"/>
      <c r="G10" s="9" t="s">
        <v>9</v>
      </c>
      <c r="H10" s="9"/>
      <c r="I10" s="10" t="s">
        <v>118</v>
      </c>
    </row>
    <row r="11" customFormat="false" ht="23.85" hidden="false" customHeight="false" outlineLevel="0" collapsed="false">
      <c r="A11" s="9" t="s">
        <v>119</v>
      </c>
      <c r="B11" s="14" t="s">
        <v>43</v>
      </c>
      <c r="C11" s="10" t="s">
        <v>120</v>
      </c>
      <c r="D11" s="10" t="s">
        <v>121</v>
      </c>
      <c r="E11" s="10" t="s">
        <v>91</v>
      </c>
      <c r="F11" s="9"/>
      <c r="G11" s="9" t="s">
        <v>9</v>
      </c>
      <c r="H11" s="9"/>
      <c r="I11" s="10" t="s">
        <v>122</v>
      </c>
    </row>
    <row r="12" customFormat="false" ht="23.85" hidden="false" customHeight="false" outlineLevel="0" collapsed="false">
      <c r="A12" s="9" t="s">
        <v>123</v>
      </c>
      <c r="B12" s="14" t="s">
        <v>43</v>
      </c>
      <c r="C12" s="10" t="s">
        <v>124</v>
      </c>
      <c r="D12" s="10" t="s">
        <v>125</v>
      </c>
      <c r="E12" s="10" t="s">
        <v>112</v>
      </c>
      <c r="F12" s="9"/>
      <c r="G12" s="9" t="s">
        <v>9</v>
      </c>
      <c r="H12" s="9"/>
      <c r="I12" s="10"/>
    </row>
    <row r="13" customFormat="false" ht="23.85" hidden="false" customHeight="false" outlineLevel="0" collapsed="false">
      <c r="A13" s="9" t="s">
        <v>126</v>
      </c>
      <c r="B13" s="15" t="s">
        <v>47</v>
      </c>
      <c r="C13" s="10" t="s">
        <v>127</v>
      </c>
      <c r="D13" s="10" t="s">
        <v>128</v>
      </c>
      <c r="E13" s="10" t="s">
        <v>104</v>
      </c>
      <c r="F13" s="9"/>
      <c r="G13" s="9" t="s">
        <v>9</v>
      </c>
      <c r="H13" s="9"/>
      <c r="I13" s="10"/>
    </row>
    <row r="14" customFormat="false" ht="35.05" hidden="false" customHeight="false" outlineLevel="0" collapsed="false">
      <c r="A14" s="9" t="s">
        <v>129</v>
      </c>
      <c r="B14" s="15" t="s">
        <v>47</v>
      </c>
      <c r="C14" s="10" t="s">
        <v>130</v>
      </c>
      <c r="D14" s="10" t="s">
        <v>131</v>
      </c>
      <c r="E14" s="10" t="s">
        <v>126</v>
      </c>
      <c r="F14" s="9"/>
      <c r="G14" s="9" t="s">
        <v>9</v>
      </c>
      <c r="H14" s="9"/>
      <c r="I14" s="10"/>
    </row>
    <row r="15" customFormat="false" ht="23.85" hidden="false" customHeight="false" outlineLevel="0" collapsed="false">
      <c r="A15" s="9" t="s">
        <v>132</v>
      </c>
      <c r="B15" s="15" t="s">
        <v>47</v>
      </c>
      <c r="C15" s="10" t="s">
        <v>133</v>
      </c>
      <c r="D15" s="10" t="s">
        <v>134</v>
      </c>
      <c r="E15" s="10" t="s">
        <v>129</v>
      </c>
      <c r="F15" s="9"/>
      <c r="G15" s="9" t="s">
        <v>9</v>
      </c>
      <c r="H15" s="9"/>
      <c r="I15" s="10"/>
    </row>
    <row r="16" customFormat="false" ht="15" hidden="false" customHeight="false" outlineLevel="0" collapsed="false">
      <c r="A16" s="9" t="s">
        <v>135</v>
      </c>
      <c r="B16" s="15" t="s">
        <v>47</v>
      </c>
      <c r="C16" s="10" t="s">
        <v>136</v>
      </c>
      <c r="D16" s="10" t="s">
        <v>137</v>
      </c>
      <c r="E16" s="10" t="s">
        <v>129</v>
      </c>
      <c r="F16" s="9"/>
      <c r="G16" s="9" t="s">
        <v>9</v>
      </c>
      <c r="H16" s="9"/>
      <c r="I16" s="10"/>
    </row>
    <row r="17" customFormat="false" ht="23.85" hidden="false" customHeight="false" outlineLevel="0" collapsed="false">
      <c r="A17" s="9" t="s">
        <v>138</v>
      </c>
      <c r="B17" s="15" t="s">
        <v>47</v>
      </c>
      <c r="C17" s="10" t="s">
        <v>139</v>
      </c>
      <c r="D17" s="10" t="s">
        <v>140</v>
      </c>
      <c r="E17" s="10" t="s">
        <v>104</v>
      </c>
      <c r="F17" s="9"/>
      <c r="G17" s="9" t="s">
        <v>9</v>
      </c>
      <c r="H17" s="9"/>
      <c r="I17" s="10" t="s">
        <v>141</v>
      </c>
    </row>
    <row r="18" customFormat="false" ht="23.85" hidden="false" customHeight="false" outlineLevel="0" collapsed="false">
      <c r="A18" s="9" t="s">
        <v>142</v>
      </c>
      <c r="B18" s="15" t="s">
        <v>47</v>
      </c>
      <c r="C18" s="10" t="s">
        <v>143</v>
      </c>
      <c r="D18" s="10" t="s">
        <v>144</v>
      </c>
      <c r="E18" s="10" t="s">
        <v>138</v>
      </c>
      <c r="F18" s="9"/>
      <c r="G18" s="9" t="s">
        <v>9</v>
      </c>
      <c r="H18" s="9"/>
      <c r="I18" s="10"/>
    </row>
    <row r="19" customFormat="false" ht="23.85" hidden="false" customHeight="false" outlineLevel="0" collapsed="false">
      <c r="A19" s="9" t="s">
        <v>145</v>
      </c>
      <c r="B19" s="15" t="s">
        <v>47</v>
      </c>
      <c r="C19" s="10" t="s">
        <v>146</v>
      </c>
      <c r="D19" s="10" t="s">
        <v>147</v>
      </c>
      <c r="E19" s="10" t="s">
        <v>148</v>
      </c>
      <c r="F19" s="9"/>
      <c r="G19" s="9" t="s">
        <v>9</v>
      </c>
      <c r="H19" s="9"/>
      <c r="I19" s="10" t="s">
        <v>149</v>
      </c>
    </row>
    <row r="20" customFormat="false" ht="23.85" hidden="false" customHeight="false" outlineLevel="0" collapsed="false">
      <c r="A20" s="9" t="s">
        <v>150</v>
      </c>
      <c r="B20" s="15" t="s">
        <v>47</v>
      </c>
      <c r="C20" s="10" t="s">
        <v>151</v>
      </c>
      <c r="D20" s="10" t="s">
        <v>152</v>
      </c>
      <c r="E20" s="10" t="s">
        <v>142</v>
      </c>
      <c r="F20" s="9"/>
      <c r="G20" s="9" t="s">
        <v>9</v>
      </c>
      <c r="H20" s="9"/>
      <c r="I20" s="10" t="s">
        <v>153</v>
      </c>
    </row>
    <row r="21" customFormat="false" ht="23.85" hidden="false" customHeight="false" outlineLevel="0" collapsed="false">
      <c r="A21" s="9" t="s">
        <v>154</v>
      </c>
      <c r="B21" s="15" t="s">
        <v>47</v>
      </c>
      <c r="C21" s="10" t="s">
        <v>155</v>
      </c>
      <c r="D21" s="10" t="s">
        <v>156</v>
      </c>
      <c r="E21" s="10" t="s">
        <v>142</v>
      </c>
      <c r="F21" s="9"/>
      <c r="G21" s="9" t="s">
        <v>9</v>
      </c>
      <c r="H21" s="9"/>
      <c r="I21" s="10" t="s">
        <v>157</v>
      </c>
    </row>
    <row r="22" customFormat="false" ht="23.85" hidden="false" customHeight="false" outlineLevel="0" collapsed="false">
      <c r="A22" s="9" t="s">
        <v>158</v>
      </c>
      <c r="B22" s="15" t="s">
        <v>47</v>
      </c>
      <c r="C22" s="10" t="s">
        <v>159</v>
      </c>
      <c r="D22" s="10" t="s">
        <v>160</v>
      </c>
      <c r="E22" s="10" t="s">
        <v>142</v>
      </c>
      <c r="F22" s="9"/>
      <c r="G22" s="9" t="s">
        <v>9</v>
      </c>
      <c r="H22" s="9"/>
      <c r="I22" s="10" t="s">
        <v>161</v>
      </c>
    </row>
    <row r="23" customFormat="false" ht="23.85" hidden="false" customHeight="false" outlineLevel="0" collapsed="false">
      <c r="A23" s="9" t="s">
        <v>162</v>
      </c>
      <c r="B23" s="15" t="s">
        <v>47</v>
      </c>
      <c r="C23" s="10" t="s">
        <v>163</v>
      </c>
      <c r="D23" s="10" t="s">
        <v>164</v>
      </c>
      <c r="E23" s="10" t="s">
        <v>129</v>
      </c>
      <c r="F23" s="9"/>
      <c r="G23" s="9" t="s">
        <v>9</v>
      </c>
      <c r="H23" s="9"/>
      <c r="I23" s="10"/>
    </row>
    <row r="24" customFormat="false" ht="23.85" hidden="false" customHeight="false" outlineLevel="0" collapsed="false">
      <c r="A24" s="9" t="s">
        <v>165</v>
      </c>
      <c r="B24" s="15" t="s">
        <v>47</v>
      </c>
      <c r="C24" s="10" t="s">
        <v>166</v>
      </c>
      <c r="D24" s="10" t="s">
        <v>167</v>
      </c>
      <c r="E24" s="10" t="s">
        <v>162</v>
      </c>
      <c r="F24" s="9"/>
      <c r="G24" s="9" t="s">
        <v>9</v>
      </c>
      <c r="H24" s="9"/>
      <c r="I24" s="10" t="s">
        <v>168</v>
      </c>
    </row>
    <row r="25" customFormat="false" ht="23.85" hidden="false" customHeight="false" outlineLevel="0" collapsed="false">
      <c r="A25" s="9" t="s">
        <v>169</v>
      </c>
      <c r="B25" s="15" t="s">
        <v>47</v>
      </c>
      <c r="C25" s="10" t="s">
        <v>170</v>
      </c>
      <c r="D25" s="10" t="s">
        <v>171</v>
      </c>
      <c r="E25" s="10" t="s">
        <v>172</v>
      </c>
      <c r="F25" s="9"/>
      <c r="G25" s="9" t="s">
        <v>9</v>
      </c>
      <c r="H25" s="9"/>
      <c r="I25" s="10"/>
    </row>
    <row r="26" customFormat="false" ht="23.85" hidden="false" customHeight="false" outlineLevel="0" collapsed="false">
      <c r="A26" s="9" t="s">
        <v>173</v>
      </c>
      <c r="B26" s="15" t="s">
        <v>47</v>
      </c>
      <c r="C26" s="10" t="s">
        <v>174</v>
      </c>
      <c r="D26" s="10" t="s">
        <v>175</v>
      </c>
      <c r="E26" s="10" t="s">
        <v>176</v>
      </c>
      <c r="F26" s="9"/>
      <c r="G26" s="9" t="s">
        <v>9</v>
      </c>
      <c r="H26" s="9"/>
      <c r="I26" s="10" t="s">
        <v>177</v>
      </c>
    </row>
    <row r="27" customFormat="false" ht="23.85" hidden="false" customHeight="false" outlineLevel="0" collapsed="false">
      <c r="A27" s="9" t="s">
        <v>178</v>
      </c>
      <c r="B27" s="15" t="s">
        <v>47</v>
      </c>
      <c r="C27" s="10" t="s">
        <v>179</v>
      </c>
      <c r="D27" s="10" t="s">
        <v>180</v>
      </c>
      <c r="E27" s="10" t="s">
        <v>181</v>
      </c>
      <c r="F27" s="9"/>
      <c r="G27" s="9" t="s">
        <v>9</v>
      </c>
      <c r="H27" s="9"/>
      <c r="I27" s="10" t="s">
        <v>182</v>
      </c>
    </row>
    <row r="28" customFormat="false" ht="23.85" hidden="false" customHeight="false" outlineLevel="0" collapsed="false">
      <c r="A28" s="9" t="s">
        <v>183</v>
      </c>
      <c r="B28" s="15" t="s">
        <v>47</v>
      </c>
      <c r="C28" s="10" t="s">
        <v>184</v>
      </c>
      <c r="D28" s="10" t="s">
        <v>185</v>
      </c>
      <c r="E28" s="10" t="s">
        <v>186</v>
      </c>
      <c r="F28" s="9"/>
      <c r="G28" s="9" t="s">
        <v>9</v>
      </c>
      <c r="H28" s="9"/>
      <c r="I28" s="10" t="s">
        <v>187</v>
      </c>
    </row>
    <row r="29" customFormat="false" ht="23.85" hidden="false" customHeight="false" outlineLevel="0" collapsed="false">
      <c r="A29" s="9" t="s">
        <v>188</v>
      </c>
      <c r="B29" s="15" t="s">
        <v>47</v>
      </c>
      <c r="C29" s="10" t="s">
        <v>189</v>
      </c>
      <c r="D29" s="10" t="s">
        <v>190</v>
      </c>
      <c r="E29" s="10" t="s">
        <v>191</v>
      </c>
      <c r="F29" s="9" t="s">
        <v>192</v>
      </c>
      <c r="G29" s="9" t="s">
        <v>9</v>
      </c>
      <c r="H29" s="9"/>
      <c r="I29" s="10" t="s">
        <v>193</v>
      </c>
    </row>
    <row r="30" customFormat="false" ht="23.85" hidden="false" customHeight="false" outlineLevel="0" collapsed="false">
      <c r="A30" s="9" t="s">
        <v>194</v>
      </c>
      <c r="B30" s="15" t="s">
        <v>47</v>
      </c>
      <c r="C30" s="10" t="s">
        <v>195</v>
      </c>
      <c r="D30" s="10" t="s">
        <v>196</v>
      </c>
      <c r="E30" s="10" t="s">
        <v>183</v>
      </c>
      <c r="F30" s="9"/>
      <c r="G30" s="9" t="s">
        <v>9</v>
      </c>
      <c r="H30" s="9"/>
      <c r="I30" s="10" t="s">
        <v>197</v>
      </c>
    </row>
    <row r="31" customFormat="false" ht="23.85" hidden="false" customHeight="false" outlineLevel="0" collapsed="false">
      <c r="A31" s="9" t="s">
        <v>198</v>
      </c>
      <c r="B31" s="15" t="s">
        <v>47</v>
      </c>
      <c r="C31" s="10" t="s">
        <v>199</v>
      </c>
      <c r="D31" s="10" t="s">
        <v>200</v>
      </c>
      <c r="E31" s="10" t="s">
        <v>201</v>
      </c>
      <c r="F31" s="9"/>
      <c r="G31" s="9" t="s">
        <v>9</v>
      </c>
      <c r="H31" s="9"/>
      <c r="I31" s="10" t="s">
        <v>202</v>
      </c>
    </row>
    <row r="32" customFormat="false" ht="23.85" hidden="false" customHeight="false" outlineLevel="0" collapsed="false">
      <c r="A32" s="9" t="s">
        <v>203</v>
      </c>
      <c r="B32" s="15" t="s">
        <v>47</v>
      </c>
      <c r="C32" s="10" t="s">
        <v>204</v>
      </c>
      <c r="D32" s="10" t="s">
        <v>205</v>
      </c>
      <c r="E32" s="10" t="s">
        <v>198</v>
      </c>
      <c r="F32" s="16" t="s">
        <v>206</v>
      </c>
      <c r="G32" s="9" t="s">
        <v>9</v>
      </c>
      <c r="H32" s="9"/>
      <c r="I32" s="10" t="s">
        <v>207</v>
      </c>
    </row>
    <row r="33" customFormat="false" ht="23.85" hidden="false" customHeight="false" outlineLevel="0" collapsed="false">
      <c r="A33" s="9" t="s">
        <v>208</v>
      </c>
      <c r="B33" s="17" t="s">
        <v>51</v>
      </c>
      <c r="C33" s="10" t="s">
        <v>209</v>
      </c>
      <c r="D33" s="10" t="s">
        <v>210</v>
      </c>
      <c r="E33" s="10" t="s">
        <v>129</v>
      </c>
      <c r="F33" s="9"/>
      <c r="G33" s="9" t="s">
        <v>9</v>
      </c>
      <c r="H33" s="9"/>
      <c r="I33" s="10" t="s">
        <v>211</v>
      </c>
    </row>
    <row r="34" customFormat="false" ht="23.85" hidden="false" customHeight="false" outlineLevel="0" collapsed="false">
      <c r="A34" s="9" t="s">
        <v>212</v>
      </c>
      <c r="B34" s="17" t="s">
        <v>51</v>
      </c>
      <c r="C34" s="10" t="s">
        <v>213</v>
      </c>
      <c r="D34" s="10" t="s">
        <v>214</v>
      </c>
      <c r="E34" s="10" t="s">
        <v>215</v>
      </c>
      <c r="F34" s="9"/>
      <c r="G34" s="9" t="s">
        <v>9</v>
      </c>
      <c r="H34" s="9"/>
      <c r="I34" s="10" t="s">
        <v>216</v>
      </c>
    </row>
    <row r="35" customFormat="false" ht="23.85" hidden="false" customHeight="false" outlineLevel="0" collapsed="false">
      <c r="A35" s="9" t="s">
        <v>217</v>
      </c>
      <c r="B35" s="17" t="s">
        <v>51</v>
      </c>
      <c r="C35" s="10" t="s">
        <v>218</v>
      </c>
      <c r="D35" s="10" t="s">
        <v>219</v>
      </c>
      <c r="E35" s="10" t="s">
        <v>208</v>
      </c>
      <c r="F35" s="9"/>
      <c r="G35" s="9" t="s">
        <v>9</v>
      </c>
      <c r="H35" s="9"/>
      <c r="I35" s="10" t="s">
        <v>220</v>
      </c>
    </row>
    <row r="36" customFormat="false" ht="23.85" hidden="false" customHeight="false" outlineLevel="0" collapsed="false">
      <c r="A36" s="9" t="s">
        <v>221</v>
      </c>
      <c r="B36" s="17" t="s">
        <v>51</v>
      </c>
      <c r="C36" s="10" t="s">
        <v>222</v>
      </c>
      <c r="D36" s="10" t="s">
        <v>223</v>
      </c>
      <c r="E36" s="10" t="s">
        <v>208</v>
      </c>
      <c r="F36" s="9"/>
      <c r="G36" s="9" t="s">
        <v>9</v>
      </c>
      <c r="H36" s="9"/>
      <c r="I36" s="10"/>
    </row>
    <row r="37" customFormat="false" ht="23.85" hidden="false" customHeight="false" outlineLevel="0" collapsed="false">
      <c r="A37" s="9" t="s">
        <v>224</v>
      </c>
      <c r="B37" s="17" t="s">
        <v>51</v>
      </c>
      <c r="C37" s="10" t="s">
        <v>225</v>
      </c>
      <c r="D37" s="10" t="s">
        <v>226</v>
      </c>
      <c r="E37" s="10" t="s">
        <v>227</v>
      </c>
      <c r="F37" s="9"/>
      <c r="G37" s="9" t="s">
        <v>9</v>
      </c>
      <c r="H37" s="9"/>
      <c r="I37" s="10" t="s">
        <v>228</v>
      </c>
    </row>
    <row r="38" customFormat="false" ht="23.85" hidden="false" customHeight="false" outlineLevel="0" collapsed="false">
      <c r="A38" s="9" t="s">
        <v>229</v>
      </c>
      <c r="B38" s="17" t="s">
        <v>51</v>
      </c>
      <c r="C38" s="10" t="s">
        <v>230</v>
      </c>
      <c r="D38" s="10" t="s">
        <v>231</v>
      </c>
      <c r="E38" s="10" t="s">
        <v>232</v>
      </c>
      <c r="F38" s="18" t="s">
        <v>233</v>
      </c>
      <c r="G38" s="9" t="s">
        <v>9</v>
      </c>
      <c r="H38" s="9"/>
      <c r="I38" s="10" t="s">
        <v>234</v>
      </c>
    </row>
    <row r="39" customFormat="false" ht="23.85" hidden="false" customHeight="false" outlineLevel="0" collapsed="false">
      <c r="A39" s="9" t="s">
        <v>235</v>
      </c>
      <c r="B39" s="19" t="s">
        <v>55</v>
      </c>
      <c r="C39" s="10" t="s">
        <v>236</v>
      </c>
      <c r="D39" s="10" t="s">
        <v>237</v>
      </c>
      <c r="E39" s="10" t="s">
        <v>129</v>
      </c>
      <c r="F39" s="9"/>
      <c r="G39" s="9" t="s">
        <v>9</v>
      </c>
      <c r="H39" s="9"/>
      <c r="I39" s="10"/>
    </row>
    <row r="40" customFormat="false" ht="23.85" hidden="false" customHeight="false" outlineLevel="0" collapsed="false">
      <c r="A40" s="9" t="s">
        <v>238</v>
      </c>
      <c r="B40" s="19" t="s">
        <v>55</v>
      </c>
      <c r="C40" s="10" t="s">
        <v>239</v>
      </c>
      <c r="D40" s="10" t="s">
        <v>240</v>
      </c>
      <c r="E40" s="10" t="s">
        <v>241</v>
      </c>
      <c r="F40" s="9"/>
      <c r="G40" s="9" t="s">
        <v>9</v>
      </c>
      <c r="H40" s="9"/>
      <c r="I40" s="10" t="s">
        <v>242</v>
      </c>
    </row>
    <row r="41" customFormat="false" ht="23.85" hidden="false" customHeight="false" outlineLevel="0" collapsed="false">
      <c r="A41" s="9" t="s">
        <v>243</v>
      </c>
      <c r="B41" s="19" t="s">
        <v>55</v>
      </c>
      <c r="C41" s="10" t="s">
        <v>244</v>
      </c>
      <c r="D41" s="10" t="s">
        <v>245</v>
      </c>
      <c r="E41" s="10" t="s">
        <v>235</v>
      </c>
      <c r="F41" s="9"/>
      <c r="G41" s="9" t="s">
        <v>9</v>
      </c>
      <c r="H41" s="9"/>
      <c r="I41" s="10" t="s">
        <v>246</v>
      </c>
    </row>
    <row r="42" customFormat="false" ht="23.85" hidden="false" customHeight="false" outlineLevel="0" collapsed="false">
      <c r="A42" s="9" t="s">
        <v>247</v>
      </c>
      <c r="B42" s="19" t="s">
        <v>55</v>
      </c>
      <c r="C42" s="10" t="s">
        <v>248</v>
      </c>
      <c r="D42" s="10" t="s">
        <v>249</v>
      </c>
      <c r="E42" s="10" t="s">
        <v>235</v>
      </c>
      <c r="F42" s="9"/>
      <c r="G42" s="9" t="s">
        <v>9</v>
      </c>
      <c r="H42" s="9"/>
      <c r="I42" s="10"/>
    </row>
    <row r="43" customFormat="false" ht="15" hidden="false" customHeight="false" outlineLevel="0" collapsed="false">
      <c r="A43" s="9" t="s">
        <v>250</v>
      </c>
      <c r="B43" s="19" t="s">
        <v>55</v>
      </c>
      <c r="C43" s="10" t="s">
        <v>251</v>
      </c>
      <c r="D43" s="10" t="s">
        <v>252</v>
      </c>
      <c r="E43" s="10" t="s">
        <v>235</v>
      </c>
      <c r="F43" s="9"/>
      <c r="G43" s="9" t="s">
        <v>9</v>
      </c>
      <c r="H43" s="9"/>
      <c r="I43" s="10"/>
    </row>
    <row r="44" customFormat="false" ht="23.85" hidden="false" customHeight="false" outlineLevel="0" collapsed="false">
      <c r="A44" s="9" t="s">
        <v>253</v>
      </c>
      <c r="B44" s="19" t="s">
        <v>55</v>
      </c>
      <c r="C44" s="10" t="s">
        <v>254</v>
      </c>
      <c r="D44" s="10" t="s">
        <v>255</v>
      </c>
      <c r="E44" s="10" t="s">
        <v>256</v>
      </c>
      <c r="F44" s="9"/>
      <c r="G44" s="9" t="s">
        <v>9</v>
      </c>
      <c r="H44" s="9"/>
      <c r="I44" s="10" t="s">
        <v>257</v>
      </c>
    </row>
    <row r="45" customFormat="false" ht="23.85" hidden="false" customHeight="false" outlineLevel="0" collapsed="false">
      <c r="A45" s="9" t="s">
        <v>258</v>
      </c>
      <c r="B45" s="19" t="s">
        <v>55</v>
      </c>
      <c r="C45" s="10" t="s">
        <v>259</v>
      </c>
      <c r="D45" s="10" t="s">
        <v>260</v>
      </c>
      <c r="E45" s="10" t="s">
        <v>261</v>
      </c>
      <c r="F45" s="9"/>
      <c r="G45" s="9" t="s">
        <v>9</v>
      </c>
      <c r="H45" s="9"/>
      <c r="I45" s="10" t="s">
        <v>262</v>
      </c>
    </row>
    <row r="46" customFormat="false" ht="23.85" hidden="false" customHeight="false" outlineLevel="0" collapsed="false">
      <c r="A46" s="9" t="s">
        <v>263</v>
      </c>
      <c r="B46" s="19" t="s">
        <v>55</v>
      </c>
      <c r="C46" s="10" t="s">
        <v>264</v>
      </c>
      <c r="D46" s="10" t="s">
        <v>265</v>
      </c>
      <c r="E46" s="10" t="s">
        <v>266</v>
      </c>
      <c r="F46" s="16" t="s">
        <v>206</v>
      </c>
      <c r="G46" s="9" t="s">
        <v>9</v>
      </c>
      <c r="H46" s="9"/>
      <c r="I46" s="10"/>
    </row>
    <row r="47" customFormat="false" ht="23.85" hidden="false" customHeight="false" outlineLevel="0" collapsed="false">
      <c r="A47" s="9" t="s">
        <v>267</v>
      </c>
      <c r="B47" s="20" t="s">
        <v>59</v>
      </c>
      <c r="C47" s="10" t="s">
        <v>268</v>
      </c>
      <c r="D47" s="10" t="s">
        <v>269</v>
      </c>
      <c r="E47" s="10" t="s">
        <v>270</v>
      </c>
      <c r="F47" s="9" t="s">
        <v>192</v>
      </c>
      <c r="G47" s="9" t="s">
        <v>9</v>
      </c>
      <c r="H47" s="9"/>
      <c r="I47" s="10"/>
    </row>
    <row r="48" customFormat="false" ht="23.85" hidden="false" customHeight="false" outlineLevel="0" collapsed="false">
      <c r="A48" s="9" t="s">
        <v>271</v>
      </c>
      <c r="B48" s="20" t="s">
        <v>59</v>
      </c>
      <c r="C48" s="10" t="s">
        <v>272</v>
      </c>
      <c r="D48" s="10" t="s">
        <v>273</v>
      </c>
      <c r="E48" s="10" t="s">
        <v>274</v>
      </c>
      <c r="F48" s="9" t="s">
        <v>192</v>
      </c>
      <c r="G48" s="9" t="s">
        <v>9</v>
      </c>
      <c r="H48" s="9"/>
      <c r="I48" s="10"/>
    </row>
    <row r="49" customFormat="false" ht="23.85" hidden="false" customHeight="false" outlineLevel="0" collapsed="false">
      <c r="A49" s="9" t="s">
        <v>275</v>
      </c>
      <c r="B49" s="20" t="s">
        <v>59</v>
      </c>
      <c r="C49" s="10" t="s">
        <v>276</v>
      </c>
      <c r="D49" s="10" t="s">
        <v>277</v>
      </c>
      <c r="E49" s="10" t="s">
        <v>267</v>
      </c>
      <c r="F49" s="9" t="s">
        <v>192</v>
      </c>
      <c r="G49" s="9" t="s">
        <v>9</v>
      </c>
      <c r="H49" s="9"/>
      <c r="I49" s="10"/>
    </row>
    <row r="50" customFormat="false" ht="23.85" hidden="false" customHeight="false" outlineLevel="0" collapsed="false">
      <c r="A50" s="9" t="s">
        <v>278</v>
      </c>
      <c r="B50" s="20" t="s">
        <v>59</v>
      </c>
      <c r="C50" s="10" t="s">
        <v>279</v>
      </c>
      <c r="D50" s="10" t="s">
        <v>280</v>
      </c>
      <c r="E50" s="10" t="s">
        <v>183</v>
      </c>
      <c r="F50" s="9"/>
      <c r="G50" s="9" t="s">
        <v>9</v>
      </c>
      <c r="H50" s="9"/>
      <c r="I50" s="10"/>
    </row>
    <row r="51" customFormat="false" ht="23.85" hidden="false" customHeight="false" outlineLevel="0" collapsed="false">
      <c r="A51" s="9" t="s">
        <v>281</v>
      </c>
      <c r="B51" s="20" t="s">
        <v>59</v>
      </c>
      <c r="C51" s="10" t="s">
        <v>282</v>
      </c>
      <c r="D51" s="10" t="s">
        <v>283</v>
      </c>
      <c r="E51" s="10" t="s">
        <v>284</v>
      </c>
      <c r="F51" s="9"/>
      <c r="G51" s="9" t="s">
        <v>9</v>
      </c>
      <c r="H51" s="9"/>
      <c r="I51" s="10" t="s">
        <v>285</v>
      </c>
    </row>
    <row r="52" customFormat="false" ht="15" hidden="false" customHeight="false" outlineLevel="0" collapsed="false">
      <c r="A52" s="9" t="s">
        <v>286</v>
      </c>
      <c r="B52" s="20" t="s">
        <v>59</v>
      </c>
      <c r="C52" s="10" t="s">
        <v>287</v>
      </c>
      <c r="D52" s="10" t="s">
        <v>288</v>
      </c>
      <c r="E52" s="10" t="s">
        <v>289</v>
      </c>
      <c r="F52" s="18" t="s">
        <v>233</v>
      </c>
      <c r="G52" s="9" t="s">
        <v>9</v>
      </c>
      <c r="H52" s="9"/>
      <c r="I52" s="10" t="s">
        <v>290</v>
      </c>
    </row>
    <row r="53" customFormat="false" ht="23.85" hidden="false" customHeight="false" outlineLevel="0" collapsed="false">
      <c r="A53" s="9" t="s">
        <v>291</v>
      </c>
      <c r="B53" s="21" t="s">
        <v>64</v>
      </c>
      <c r="C53" s="10" t="s">
        <v>292</v>
      </c>
      <c r="D53" s="10" t="s">
        <v>293</v>
      </c>
      <c r="E53" s="10" t="s">
        <v>235</v>
      </c>
      <c r="F53" s="9"/>
      <c r="G53" s="9" t="s">
        <v>9</v>
      </c>
      <c r="H53" s="9"/>
      <c r="I53" s="10"/>
    </row>
    <row r="54" customFormat="false" ht="35.05" hidden="false" customHeight="false" outlineLevel="0" collapsed="false">
      <c r="A54" s="9" t="s">
        <v>294</v>
      </c>
      <c r="B54" s="21" t="s">
        <v>64</v>
      </c>
      <c r="C54" s="10" t="s">
        <v>295</v>
      </c>
      <c r="D54" s="10" t="s">
        <v>296</v>
      </c>
      <c r="E54" s="10" t="s">
        <v>297</v>
      </c>
      <c r="F54" s="9"/>
      <c r="G54" s="9" t="s">
        <v>9</v>
      </c>
      <c r="H54" s="9"/>
      <c r="I54" s="10" t="s">
        <v>298</v>
      </c>
    </row>
    <row r="55" customFormat="false" ht="35.05" hidden="false" customHeight="false" outlineLevel="0" collapsed="false">
      <c r="A55" s="9" t="s">
        <v>299</v>
      </c>
      <c r="B55" s="21" t="s">
        <v>64</v>
      </c>
      <c r="C55" s="10" t="s">
        <v>300</v>
      </c>
      <c r="D55" s="10" t="s">
        <v>301</v>
      </c>
      <c r="E55" s="10" t="s">
        <v>294</v>
      </c>
      <c r="F55" s="9"/>
      <c r="G55" s="9" t="s">
        <v>9</v>
      </c>
      <c r="H55" s="9"/>
      <c r="I55" s="10" t="s">
        <v>302</v>
      </c>
    </row>
    <row r="56" customFormat="false" ht="35.05" hidden="false" customHeight="false" outlineLevel="0" collapsed="false">
      <c r="A56" s="9" t="s">
        <v>303</v>
      </c>
      <c r="B56" s="21" t="s">
        <v>64</v>
      </c>
      <c r="C56" s="10" t="s">
        <v>304</v>
      </c>
      <c r="D56" s="10" t="s">
        <v>305</v>
      </c>
      <c r="E56" s="10" t="s">
        <v>297</v>
      </c>
      <c r="F56" s="9"/>
      <c r="G56" s="9" t="s">
        <v>9</v>
      </c>
      <c r="H56" s="9"/>
      <c r="I56" s="10" t="s">
        <v>306</v>
      </c>
    </row>
    <row r="57" customFormat="false" ht="23.85" hidden="false" customHeight="false" outlineLevel="0" collapsed="false">
      <c r="A57" s="9" t="s">
        <v>307</v>
      </c>
      <c r="B57" s="21" t="s">
        <v>64</v>
      </c>
      <c r="C57" s="10" t="s">
        <v>308</v>
      </c>
      <c r="D57" s="10" t="s">
        <v>309</v>
      </c>
      <c r="E57" s="10" t="s">
        <v>310</v>
      </c>
      <c r="F57" s="9"/>
      <c r="G57" s="9" t="s">
        <v>9</v>
      </c>
      <c r="H57" s="9"/>
      <c r="I57" s="10" t="s">
        <v>311</v>
      </c>
    </row>
    <row r="58" customFormat="false" ht="23.85" hidden="false" customHeight="false" outlineLevel="0" collapsed="false">
      <c r="A58" s="9" t="s">
        <v>312</v>
      </c>
      <c r="B58" s="21" t="s">
        <v>64</v>
      </c>
      <c r="C58" s="10" t="s">
        <v>313</v>
      </c>
      <c r="D58" s="10" t="s">
        <v>314</v>
      </c>
      <c r="E58" s="10" t="s">
        <v>315</v>
      </c>
      <c r="F58" s="16" t="s">
        <v>206</v>
      </c>
      <c r="G58" s="9" t="s">
        <v>9</v>
      </c>
      <c r="H58" s="9"/>
      <c r="I58" s="10"/>
    </row>
    <row r="59" customFormat="false" ht="23.85" hidden="false" customHeight="false" outlineLevel="0" collapsed="false">
      <c r="A59" s="9" t="s">
        <v>316</v>
      </c>
      <c r="B59" s="17" t="s">
        <v>68</v>
      </c>
      <c r="C59" s="10" t="s">
        <v>317</v>
      </c>
      <c r="D59" s="10" t="s">
        <v>318</v>
      </c>
      <c r="E59" s="10" t="s">
        <v>235</v>
      </c>
      <c r="F59" s="9"/>
      <c r="G59" s="9" t="s">
        <v>9</v>
      </c>
      <c r="H59" s="9"/>
      <c r="I59" s="10"/>
    </row>
    <row r="60" customFormat="false" ht="23.85" hidden="false" customHeight="false" outlineLevel="0" collapsed="false">
      <c r="A60" s="9" t="s">
        <v>319</v>
      </c>
      <c r="B60" s="17" t="s">
        <v>68</v>
      </c>
      <c r="C60" s="10" t="s">
        <v>320</v>
      </c>
      <c r="D60" s="10" t="s">
        <v>321</v>
      </c>
      <c r="E60" s="10" t="s">
        <v>316</v>
      </c>
      <c r="F60" s="9"/>
      <c r="G60" s="9" t="s">
        <v>9</v>
      </c>
      <c r="H60" s="9"/>
      <c r="I60" s="10"/>
    </row>
    <row r="61" customFormat="false" ht="46.25" hidden="false" customHeight="false" outlineLevel="0" collapsed="false">
      <c r="A61" s="9" t="s">
        <v>322</v>
      </c>
      <c r="B61" s="17" t="s">
        <v>68</v>
      </c>
      <c r="C61" s="10" t="s">
        <v>323</v>
      </c>
      <c r="D61" s="10" t="s">
        <v>324</v>
      </c>
      <c r="E61" s="10" t="s">
        <v>325</v>
      </c>
      <c r="F61" s="9"/>
      <c r="G61" s="9" t="s">
        <v>9</v>
      </c>
      <c r="H61" s="9"/>
      <c r="I61" s="10" t="s">
        <v>326</v>
      </c>
    </row>
    <row r="62" customFormat="false" ht="23.85" hidden="false" customHeight="false" outlineLevel="0" collapsed="false">
      <c r="A62" s="9" t="s">
        <v>327</v>
      </c>
      <c r="B62" s="17" t="s">
        <v>68</v>
      </c>
      <c r="C62" s="10" t="s">
        <v>328</v>
      </c>
      <c r="D62" s="10" t="s">
        <v>329</v>
      </c>
      <c r="E62" s="10" t="s">
        <v>330</v>
      </c>
      <c r="F62" s="9"/>
      <c r="G62" s="9" t="s">
        <v>9</v>
      </c>
      <c r="H62" s="9"/>
      <c r="I62" s="10"/>
    </row>
    <row r="63" customFormat="false" ht="23.85" hidden="false" customHeight="false" outlineLevel="0" collapsed="false">
      <c r="A63" s="9" t="s">
        <v>331</v>
      </c>
      <c r="B63" s="17" t="s">
        <v>68</v>
      </c>
      <c r="C63" s="10" t="s">
        <v>332</v>
      </c>
      <c r="D63" s="10" t="s">
        <v>333</v>
      </c>
      <c r="E63" s="10" t="s">
        <v>322</v>
      </c>
      <c r="F63" s="9"/>
      <c r="G63" s="9" t="s">
        <v>9</v>
      </c>
      <c r="H63" s="9"/>
      <c r="I63" s="10" t="s">
        <v>334</v>
      </c>
    </row>
    <row r="64" customFormat="false" ht="23.85" hidden="false" customHeight="false" outlineLevel="0" collapsed="false">
      <c r="A64" s="9" t="s">
        <v>335</v>
      </c>
      <c r="B64" s="17" t="s">
        <v>68</v>
      </c>
      <c r="C64" s="10" t="s">
        <v>336</v>
      </c>
      <c r="D64" s="10" t="s">
        <v>337</v>
      </c>
      <c r="E64" s="10" t="s">
        <v>338</v>
      </c>
      <c r="F64" s="9"/>
      <c r="G64" s="9" t="s">
        <v>9</v>
      </c>
      <c r="H64" s="9"/>
      <c r="I64" s="10" t="s">
        <v>339</v>
      </c>
    </row>
    <row r="65" customFormat="false" ht="23.85" hidden="false" customHeight="false" outlineLevel="0" collapsed="false">
      <c r="A65" s="9" t="s">
        <v>340</v>
      </c>
      <c r="B65" s="17" t="s">
        <v>68</v>
      </c>
      <c r="C65" s="10" t="s">
        <v>341</v>
      </c>
      <c r="D65" s="10" t="s">
        <v>342</v>
      </c>
      <c r="E65" s="10" t="s">
        <v>316</v>
      </c>
      <c r="F65" s="9" t="s">
        <v>192</v>
      </c>
      <c r="G65" s="9" t="s">
        <v>9</v>
      </c>
      <c r="H65" s="9"/>
      <c r="I65" s="10" t="s">
        <v>343</v>
      </c>
    </row>
    <row r="66" customFormat="false" ht="23.85" hidden="false" customHeight="false" outlineLevel="0" collapsed="false">
      <c r="A66" s="9" t="s">
        <v>344</v>
      </c>
      <c r="B66" s="17" t="s">
        <v>68</v>
      </c>
      <c r="C66" s="10" t="s">
        <v>345</v>
      </c>
      <c r="D66" s="10" t="s">
        <v>346</v>
      </c>
      <c r="E66" s="10" t="s">
        <v>347</v>
      </c>
      <c r="F66" s="16" t="s">
        <v>206</v>
      </c>
      <c r="G66" s="9" t="s">
        <v>9</v>
      </c>
      <c r="H66" s="9"/>
      <c r="I66" s="10"/>
    </row>
    <row r="67" customFormat="false" ht="35.05" hidden="false" customHeight="false" outlineLevel="0" collapsed="false">
      <c r="A67" s="9" t="s">
        <v>348</v>
      </c>
      <c r="B67" s="15" t="s">
        <v>73</v>
      </c>
      <c r="C67" s="10" t="s">
        <v>349</v>
      </c>
      <c r="D67" s="10" t="s">
        <v>350</v>
      </c>
      <c r="E67" s="10" t="s">
        <v>351</v>
      </c>
      <c r="F67" s="18" t="s">
        <v>233</v>
      </c>
      <c r="G67" s="9" t="s">
        <v>9</v>
      </c>
      <c r="H67" s="9"/>
      <c r="I67" s="10" t="s">
        <v>352</v>
      </c>
    </row>
    <row r="68" customFormat="false" ht="23.85" hidden="false" customHeight="false" outlineLevel="0" collapsed="false">
      <c r="A68" s="9" t="s">
        <v>353</v>
      </c>
      <c r="B68" s="15" t="s">
        <v>73</v>
      </c>
      <c r="C68" s="10" t="s">
        <v>354</v>
      </c>
      <c r="D68" s="10" t="s">
        <v>355</v>
      </c>
      <c r="E68" s="10" t="s">
        <v>356</v>
      </c>
      <c r="F68" s="9"/>
      <c r="G68" s="9" t="s">
        <v>9</v>
      </c>
      <c r="H68" s="9"/>
      <c r="I68" s="10"/>
    </row>
    <row r="69" customFormat="false" ht="23.85" hidden="false" customHeight="false" outlineLevel="0" collapsed="false">
      <c r="A69" s="9" t="s">
        <v>357</v>
      </c>
      <c r="B69" s="15" t="s">
        <v>73</v>
      </c>
      <c r="C69" s="10" t="s">
        <v>358</v>
      </c>
      <c r="D69" s="10" t="s">
        <v>359</v>
      </c>
      <c r="E69" s="10" t="s">
        <v>194</v>
      </c>
      <c r="F69" s="9"/>
      <c r="G69" s="9" t="s">
        <v>9</v>
      </c>
      <c r="H69" s="9"/>
      <c r="I69" s="10"/>
    </row>
    <row r="70" customFormat="false" ht="23.85" hidden="false" customHeight="false" outlineLevel="0" collapsed="false">
      <c r="A70" s="9" t="s">
        <v>360</v>
      </c>
      <c r="B70" s="15" t="s">
        <v>73</v>
      </c>
      <c r="C70" s="10" t="s">
        <v>361</v>
      </c>
      <c r="D70" s="10" t="s">
        <v>362</v>
      </c>
      <c r="E70" s="10" t="s">
        <v>188</v>
      </c>
      <c r="F70" s="9" t="s">
        <v>89</v>
      </c>
      <c r="G70" s="9" t="s">
        <v>9</v>
      </c>
      <c r="H70" s="9"/>
      <c r="I70" s="10" t="s">
        <v>363</v>
      </c>
    </row>
    <row r="71" customFormat="false" ht="23.85" hidden="false" customHeight="false" outlineLevel="0" collapsed="false">
      <c r="A71" s="9" t="s">
        <v>364</v>
      </c>
      <c r="B71" s="15" t="s">
        <v>73</v>
      </c>
      <c r="C71" s="10" t="s">
        <v>365</v>
      </c>
      <c r="D71" s="10" t="s">
        <v>366</v>
      </c>
      <c r="E71" s="10" t="s">
        <v>367</v>
      </c>
      <c r="F71" s="18" t="s">
        <v>233</v>
      </c>
      <c r="G71" s="9" t="s">
        <v>9</v>
      </c>
      <c r="H71" s="9"/>
      <c r="I71" s="10" t="s">
        <v>368</v>
      </c>
    </row>
    <row r="72" customFormat="false" ht="23.85" hidden="false" customHeight="false" outlineLevel="0" collapsed="false">
      <c r="A72" s="9" t="s">
        <v>369</v>
      </c>
      <c r="B72" s="15" t="s">
        <v>73</v>
      </c>
      <c r="C72" s="10" t="s">
        <v>370</v>
      </c>
      <c r="D72" s="10" t="s">
        <v>371</v>
      </c>
      <c r="E72" s="10" t="s">
        <v>372</v>
      </c>
      <c r="F72" s="16" t="s">
        <v>206</v>
      </c>
      <c r="G72" s="9" t="s">
        <v>9</v>
      </c>
      <c r="H72" s="9"/>
      <c r="I72" s="10"/>
    </row>
  </sheetData>
  <autoFilter ref="A2:I72"/>
  <mergeCells count="1">
    <mergeCell ref="A1:I1"/>
  </mergeCells>
  <conditionalFormatting sqref="G3:G72">
    <cfRule type="cellIs" priority="2" operator="equal" aboveAverage="0" equalAverage="0" bottom="0" percent="0" rank="0" text="" dxfId="14">
      <formula>"Done"</formula>
    </cfRule>
    <cfRule type="cellIs" priority="3" operator="equal" aboveAverage="0" equalAverage="0" bottom="0" percent="0" rank="0" text="" dxfId="15">
      <formula>"In progress"</formula>
    </cfRule>
    <cfRule type="cellIs" priority="4" operator="equal" aboveAverage="0" equalAverage="0" bottom="0" percent="0" rank="0" text="" dxfId="16">
      <formula>"Blocked"</formula>
    </cfRule>
    <cfRule type="cellIs" priority="5" operator="equal" aboveAverage="0" equalAverage="0" bottom="0" percent="0" rank="0" text="" dxfId="17">
      <formula>"Not started"</formula>
    </cfRule>
  </conditionalFormatting>
  <dataValidations count="1">
    <dataValidation allowBlank="true" errorStyle="stop" operator="between" showDropDown="false" showErrorMessage="false" showInputMessage="false" sqref="G3:G72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2" t="s">
        <v>373</v>
      </c>
      <c r="B1" s="12" t="s">
        <v>374</v>
      </c>
      <c r="C1" s="12" t="s">
        <v>375</v>
      </c>
      <c r="D1" s="12" t="s">
        <v>376</v>
      </c>
      <c r="E1" s="12" t="s">
        <v>377</v>
      </c>
      <c r="F1" s="12" t="s">
        <v>378</v>
      </c>
    </row>
    <row r="2" customFormat="false" ht="23.85" hidden="false" customHeight="false" outlineLevel="0" collapsed="false">
      <c r="A2" s="9" t="s">
        <v>379</v>
      </c>
      <c r="B2" s="10" t="s">
        <v>380</v>
      </c>
      <c r="C2" s="9" t="s">
        <v>381</v>
      </c>
      <c r="D2" s="22" t="s">
        <v>382</v>
      </c>
      <c r="E2" s="10" t="s">
        <v>383</v>
      </c>
      <c r="F2" s="9" t="s">
        <v>19</v>
      </c>
    </row>
    <row r="3" customFormat="false" ht="23.85" hidden="false" customHeight="false" outlineLevel="0" collapsed="false">
      <c r="A3" s="9" t="s">
        <v>384</v>
      </c>
      <c r="B3" s="10" t="s">
        <v>385</v>
      </c>
      <c r="C3" s="9" t="s">
        <v>386</v>
      </c>
      <c r="D3" s="22" t="s">
        <v>382</v>
      </c>
      <c r="E3" s="10" t="s">
        <v>387</v>
      </c>
      <c r="F3" s="9" t="s">
        <v>19</v>
      </c>
    </row>
    <row r="4" customFormat="false" ht="23.85" hidden="false" customHeight="false" outlineLevel="0" collapsed="false">
      <c r="A4" s="9" t="s">
        <v>388</v>
      </c>
      <c r="B4" s="10" t="s">
        <v>389</v>
      </c>
      <c r="C4" s="9" t="s">
        <v>390</v>
      </c>
      <c r="D4" s="22" t="s">
        <v>382</v>
      </c>
      <c r="E4" s="10" t="s">
        <v>391</v>
      </c>
      <c r="F4" s="9" t="s">
        <v>19</v>
      </c>
    </row>
    <row r="5" customFormat="false" ht="23.85" hidden="false" customHeight="false" outlineLevel="0" collapsed="false">
      <c r="A5" s="9" t="s">
        <v>392</v>
      </c>
      <c r="B5" s="10" t="s">
        <v>393</v>
      </c>
      <c r="C5" s="9" t="s">
        <v>394</v>
      </c>
      <c r="D5" s="23" t="s">
        <v>395</v>
      </c>
      <c r="E5" s="10" t="s">
        <v>396</v>
      </c>
      <c r="F5" s="9" t="s">
        <v>397</v>
      </c>
    </row>
    <row r="6" customFormat="false" ht="23.85" hidden="false" customHeight="false" outlineLevel="0" collapsed="false">
      <c r="A6" s="9" t="s">
        <v>398</v>
      </c>
      <c r="B6" s="10" t="s">
        <v>399</v>
      </c>
      <c r="C6" s="9" t="s">
        <v>400</v>
      </c>
      <c r="D6" s="22" t="s">
        <v>382</v>
      </c>
      <c r="E6" s="10" t="s">
        <v>401</v>
      </c>
      <c r="F6" s="9" t="s">
        <v>31</v>
      </c>
    </row>
    <row r="7" customFormat="false" ht="23.85" hidden="false" customHeight="false" outlineLevel="0" collapsed="false">
      <c r="A7" s="9" t="s">
        <v>402</v>
      </c>
      <c r="B7" s="10" t="s">
        <v>403</v>
      </c>
      <c r="C7" s="9" t="s">
        <v>404</v>
      </c>
      <c r="D7" s="23" t="s">
        <v>395</v>
      </c>
      <c r="E7" s="10" t="s">
        <v>405</v>
      </c>
      <c r="F7" s="9" t="s">
        <v>406</v>
      </c>
    </row>
    <row r="8" customFormat="false" ht="23.85" hidden="false" customHeight="false" outlineLevel="0" collapsed="false">
      <c r="A8" s="9" t="s">
        <v>407</v>
      </c>
      <c r="B8" s="10" t="s">
        <v>408</v>
      </c>
      <c r="C8" s="9" t="s">
        <v>409</v>
      </c>
      <c r="D8" s="22" t="s">
        <v>410</v>
      </c>
      <c r="E8" s="10" t="s">
        <v>411</v>
      </c>
      <c r="F8" s="9" t="s">
        <v>412</v>
      </c>
    </row>
    <row r="9" customFormat="false" ht="23.85" hidden="false" customHeight="false" outlineLevel="0" collapsed="false">
      <c r="A9" s="9" t="s">
        <v>413</v>
      </c>
      <c r="B9" s="10" t="s">
        <v>414</v>
      </c>
      <c r="C9" s="9" t="s">
        <v>415</v>
      </c>
      <c r="D9" s="17" t="s">
        <v>416</v>
      </c>
      <c r="E9" s="10" t="s">
        <v>417</v>
      </c>
      <c r="F9" s="9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5" hidden="false" customHeight="false" outlineLevel="0" collapsed="false">
      <c r="A1" s="12" t="s">
        <v>373</v>
      </c>
      <c r="B1" s="12" t="s">
        <v>419</v>
      </c>
      <c r="C1" s="12" t="s">
        <v>420</v>
      </c>
      <c r="D1" s="12" t="s">
        <v>421</v>
      </c>
      <c r="E1" s="12" t="s">
        <v>82</v>
      </c>
      <c r="F1" s="12" t="s">
        <v>375</v>
      </c>
    </row>
    <row r="2" customFormat="false" ht="23.85" hidden="false" customHeight="false" outlineLevel="0" collapsed="false">
      <c r="A2" s="9" t="s">
        <v>422</v>
      </c>
      <c r="B2" s="10" t="s">
        <v>423</v>
      </c>
      <c r="C2" s="10" t="s">
        <v>424</v>
      </c>
      <c r="D2" s="9" t="s">
        <v>425</v>
      </c>
      <c r="E2" s="24" t="s">
        <v>426</v>
      </c>
      <c r="F2" s="9" t="s">
        <v>87</v>
      </c>
    </row>
    <row r="3" customFormat="false" ht="23.85" hidden="false" customHeight="false" outlineLevel="0" collapsed="false">
      <c r="A3" s="9" t="s">
        <v>427</v>
      </c>
      <c r="B3" s="10" t="s">
        <v>428</v>
      </c>
      <c r="C3" s="10" t="s">
        <v>429</v>
      </c>
      <c r="D3" s="9" t="s">
        <v>430</v>
      </c>
      <c r="E3" s="24" t="s">
        <v>431</v>
      </c>
      <c r="F3" s="9" t="s">
        <v>432</v>
      </c>
    </row>
    <row r="4" customFormat="false" ht="15" hidden="false" customHeight="false" outlineLevel="0" collapsed="false">
      <c r="A4" s="9" t="s">
        <v>433</v>
      </c>
      <c r="B4" s="10" t="s">
        <v>434</v>
      </c>
      <c r="C4" s="10" t="s">
        <v>435</v>
      </c>
      <c r="D4" s="9" t="s">
        <v>436</v>
      </c>
      <c r="E4" s="25" t="s">
        <v>437</v>
      </c>
      <c r="F4" s="9" t="s">
        <v>121</v>
      </c>
    </row>
    <row r="5" customFormat="false" ht="15" hidden="false" customHeight="false" outlineLevel="0" collapsed="false">
      <c r="A5" s="9" t="s">
        <v>438</v>
      </c>
      <c r="B5" s="10" t="s">
        <v>439</v>
      </c>
      <c r="C5" s="10" t="s">
        <v>440</v>
      </c>
      <c r="D5" s="9" t="s">
        <v>430</v>
      </c>
      <c r="E5" s="24" t="s">
        <v>441</v>
      </c>
      <c r="F5" s="9" t="s">
        <v>109</v>
      </c>
    </row>
    <row r="6" customFormat="false" ht="15" hidden="false" customHeight="false" outlineLevel="0" collapsed="false">
      <c r="A6" s="9" t="s">
        <v>442</v>
      </c>
      <c r="B6" s="10" t="s">
        <v>443</v>
      </c>
      <c r="C6" s="10" t="s">
        <v>444</v>
      </c>
      <c r="D6" s="9" t="s">
        <v>445</v>
      </c>
      <c r="E6" s="24" t="s">
        <v>431</v>
      </c>
      <c r="F6" s="9" t="s">
        <v>446</v>
      </c>
    </row>
    <row r="7" customFormat="false" ht="15" hidden="false" customHeight="false" outlineLevel="0" collapsed="false">
      <c r="A7" s="9" t="s">
        <v>447</v>
      </c>
      <c r="B7" s="10" t="s">
        <v>448</v>
      </c>
      <c r="C7" s="10" t="s">
        <v>449</v>
      </c>
      <c r="D7" s="9" t="s">
        <v>88</v>
      </c>
      <c r="E7" s="25" t="s">
        <v>450</v>
      </c>
      <c r="F7" s="9" t="s">
        <v>451</v>
      </c>
    </row>
    <row r="8" customFormat="false" ht="15" hidden="false" customHeight="false" outlineLevel="0" collapsed="false">
      <c r="A8" s="9" t="s">
        <v>452</v>
      </c>
      <c r="B8" s="10" t="s">
        <v>453</v>
      </c>
      <c r="C8" s="10" t="s">
        <v>454</v>
      </c>
      <c r="D8" s="9" t="s">
        <v>455</v>
      </c>
      <c r="E8" s="24" t="s">
        <v>441</v>
      </c>
      <c r="F8" s="9" t="s">
        <v>456</v>
      </c>
    </row>
    <row r="9" customFormat="false" ht="23.85" hidden="false" customHeight="false" outlineLevel="0" collapsed="false">
      <c r="A9" s="9" t="s">
        <v>457</v>
      </c>
      <c r="B9" s="10" t="s">
        <v>458</v>
      </c>
      <c r="C9" s="10" t="s">
        <v>459</v>
      </c>
      <c r="D9" s="9" t="s">
        <v>460</v>
      </c>
      <c r="E9" s="25" t="s">
        <v>461</v>
      </c>
      <c r="F9" s="9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6"/>
  </cols>
  <sheetData>
    <row r="1" customFormat="false" ht="15" hidden="false" customHeight="false" outlineLevel="0" collapsed="false">
      <c r="A1" s="26" t="s">
        <v>462</v>
      </c>
      <c r="B1" s="26"/>
      <c r="C1" s="26"/>
    </row>
    <row r="2" customFormat="false" ht="15" hidden="false" customHeight="false" outlineLevel="0" collapsed="false">
      <c r="A2" s="12" t="s">
        <v>373</v>
      </c>
      <c r="B2" s="12" t="s">
        <v>419</v>
      </c>
      <c r="C2" s="12" t="s">
        <v>463</v>
      </c>
    </row>
    <row r="3" customFormat="false" ht="15" hidden="false" customHeight="false" outlineLevel="0" collapsed="false">
      <c r="A3" s="9" t="s">
        <v>464</v>
      </c>
      <c r="B3" s="9" t="s">
        <v>465</v>
      </c>
      <c r="C3" s="10" t="s">
        <v>466</v>
      </c>
    </row>
    <row r="4" customFormat="false" ht="15" hidden="false" customHeight="false" outlineLevel="0" collapsed="false">
      <c r="A4" s="9" t="s">
        <v>467</v>
      </c>
      <c r="B4" s="9" t="s">
        <v>468</v>
      </c>
      <c r="C4" s="10" t="s">
        <v>469</v>
      </c>
    </row>
    <row r="5" customFormat="false" ht="15" hidden="false" customHeight="false" outlineLevel="0" collapsed="false">
      <c r="A5" s="9" t="s">
        <v>470</v>
      </c>
      <c r="B5" s="9" t="s">
        <v>471</v>
      </c>
      <c r="C5" s="10" t="s">
        <v>472</v>
      </c>
    </row>
    <row r="6" customFormat="false" ht="15" hidden="false" customHeight="false" outlineLevel="0" collapsed="false">
      <c r="A6" s="9" t="s">
        <v>473</v>
      </c>
      <c r="B6" s="9" t="s">
        <v>474</v>
      </c>
      <c r="C6" s="10" t="s">
        <v>475</v>
      </c>
    </row>
    <row r="7" customFormat="false" ht="15" hidden="false" customHeight="false" outlineLevel="0" collapsed="false">
      <c r="A7" s="9" t="s">
        <v>476</v>
      </c>
      <c r="B7" s="9" t="s">
        <v>477</v>
      </c>
      <c r="C7" s="10" t="s">
        <v>478</v>
      </c>
    </row>
    <row r="8" customFormat="false" ht="15" hidden="false" customHeight="false" outlineLevel="0" collapsed="false">
      <c r="A8" s="9" t="s">
        <v>479</v>
      </c>
      <c r="B8" s="9" t="s">
        <v>480</v>
      </c>
      <c r="C8" s="10" t="s">
        <v>481</v>
      </c>
    </row>
    <row r="9" customFormat="false" ht="15" hidden="false" customHeight="false" outlineLevel="0" collapsed="false">
      <c r="A9" s="9" t="s">
        <v>482</v>
      </c>
      <c r="B9" s="9" t="s">
        <v>483</v>
      </c>
      <c r="C9" s="10" t="s">
        <v>484</v>
      </c>
    </row>
    <row r="10" customFormat="false" ht="15" hidden="false" customHeight="false" outlineLevel="0" collapsed="false">
      <c r="A10" s="9" t="s">
        <v>485</v>
      </c>
      <c r="B10" s="9" t="s">
        <v>486</v>
      </c>
      <c r="C10" s="10" t="s">
        <v>487</v>
      </c>
    </row>
    <row r="11" customFormat="false" ht="15" hidden="false" customHeight="false" outlineLevel="0" collapsed="false">
      <c r="A11" s="9" t="s">
        <v>488</v>
      </c>
      <c r="B11" s="9" t="s">
        <v>489</v>
      </c>
      <c r="C11" s="10" t="s">
        <v>490</v>
      </c>
    </row>
    <row r="12" customFormat="false" ht="15" hidden="false" customHeight="false" outlineLevel="0" collapsed="false">
      <c r="A12" s="9" t="s">
        <v>491</v>
      </c>
      <c r="B12" s="9" t="s">
        <v>492</v>
      </c>
      <c r="C12" s="10" t="s">
        <v>493</v>
      </c>
    </row>
    <row r="13" customFormat="false" ht="15" hidden="false" customHeight="false" outlineLevel="0" collapsed="false">
      <c r="A13" s="9" t="s">
        <v>494</v>
      </c>
      <c r="B13" s="9" t="s">
        <v>495</v>
      </c>
      <c r="C13" s="10" t="s">
        <v>496</v>
      </c>
    </row>
    <row r="14" customFormat="false" ht="15" hidden="false" customHeight="false" outlineLevel="0" collapsed="false">
      <c r="A14" s="9" t="s">
        <v>497</v>
      </c>
      <c r="B14" s="9" t="s">
        <v>498</v>
      </c>
      <c r="C14" s="10" t="s">
        <v>499</v>
      </c>
    </row>
    <row r="15" customFormat="false" ht="15" hidden="false" customHeight="false" outlineLevel="0" collapsed="false">
      <c r="A15" s="9" t="s">
        <v>500</v>
      </c>
      <c r="B15" s="9" t="s">
        <v>501</v>
      </c>
      <c r="C15" s="10" t="s">
        <v>502</v>
      </c>
    </row>
    <row r="16" customFormat="false" ht="15" hidden="false" customHeight="false" outlineLevel="0" collapsed="false">
      <c r="A16" s="9" t="s">
        <v>503</v>
      </c>
      <c r="B16" s="9" t="s">
        <v>504</v>
      </c>
      <c r="C16" s="10" t="s">
        <v>505</v>
      </c>
    </row>
    <row r="17" customFormat="false" ht="15" hidden="false" customHeight="false" outlineLevel="0" collapsed="false">
      <c r="A17" s="9" t="s">
        <v>506</v>
      </c>
      <c r="B17" s="9" t="s">
        <v>507</v>
      </c>
      <c r="C17" s="10" t="s">
        <v>508</v>
      </c>
    </row>
    <row r="18" customFormat="false" ht="15" hidden="false" customHeight="false" outlineLevel="0" collapsed="false">
      <c r="A18" s="9" t="s">
        <v>509</v>
      </c>
      <c r="B18" s="9" t="s">
        <v>510</v>
      </c>
      <c r="C18" s="10" t="s">
        <v>511</v>
      </c>
    </row>
    <row r="19" customFormat="false" ht="15" hidden="false" customHeight="false" outlineLevel="0" collapsed="false">
      <c r="A19" s="9" t="s">
        <v>512</v>
      </c>
      <c r="B19" s="9" t="s">
        <v>513</v>
      </c>
      <c r="C19" s="10" t="s">
        <v>514</v>
      </c>
    </row>
    <row r="20" customFormat="false" ht="15" hidden="false" customHeight="false" outlineLevel="0" collapsed="false">
      <c r="A20" s="9" t="s">
        <v>515</v>
      </c>
      <c r="B20" s="9" t="s">
        <v>516</v>
      </c>
      <c r="C20" s="10" t="s">
        <v>517</v>
      </c>
    </row>
    <row r="21" customFormat="false" ht="15" hidden="false" customHeight="false" outlineLevel="0" collapsed="false">
      <c r="A21" s="9" t="s">
        <v>518</v>
      </c>
      <c r="B21" s="9" t="s">
        <v>519</v>
      </c>
      <c r="C21" s="10" t="s">
        <v>520</v>
      </c>
    </row>
    <row r="22" customFormat="false" ht="15" hidden="false" customHeight="false" outlineLevel="0" collapsed="false">
      <c r="A22" s="9" t="s">
        <v>521</v>
      </c>
      <c r="B22" s="9" t="s">
        <v>522</v>
      </c>
      <c r="C22" s="10" t="s">
        <v>523</v>
      </c>
    </row>
    <row r="23" customFormat="false" ht="15" hidden="false" customHeight="false" outlineLevel="0" collapsed="false">
      <c r="A23" s="9" t="s">
        <v>524</v>
      </c>
      <c r="B23" s="9" t="s">
        <v>525</v>
      </c>
      <c r="C23" s="10" t="s">
        <v>526</v>
      </c>
    </row>
    <row r="24" customFormat="false" ht="15" hidden="false" customHeight="false" outlineLevel="0" collapsed="false">
      <c r="A24" s="9" t="s">
        <v>527</v>
      </c>
      <c r="B24" s="9" t="s">
        <v>528</v>
      </c>
      <c r="C24" s="10" t="s">
        <v>529</v>
      </c>
    </row>
    <row r="25" customFormat="false" ht="15" hidden="false" customHeight="false" outlineLevel="0" collapsed="false">
      <c r="A25" s="9" t="s">
        <v>530</v>
      </c>
      <c r="B25" s="9" t="s">
        <v>531</v>
      </c>
      <c r="C25" s="10" t="s">
        <v>532</v>
      </c>
    </row>
    <row r="26" customFormat="false" ht="15" hidden="false" customHeight="false" outlineLevel="0" collapsed="false">
      <c r="A26" s="9" t="s">
        <v>533</v>
      </c>
      <c r="B26" s="9" t="s">
        <v>534</v>
      </c>
      <c r="C26" s="10" t="s">
        <v>535</v>
      </c>
    </row>
    <row r="27" customFormat="false" ht="15" hidden="false" customHeight="false" outlineLevel="0" collapsed="false">
      <c r="A27" s="9" t="s">
        <v>536</v>
      </c>
      <c r="B27" s="9" t="s">
        <v>537</v>
      </c>
      <c r="C27" s="10" t="s">
        <v>538</v>
      </c>
    </row>
    <row r="28" customFormat="false" ht="15" hidden="false" customHeight="false" outlineLevel="0" collapsed="false">
      <c r="A28" s="9" t="s">
        <v>539</v>
      </c>
      <c r="B28" s="9" t="s">
        <v>540</v>
      </c>
      <c r="C28" s="10" t="s">
        <v>541</v>
      </c>
    </row>
    <row r="29" customFormat="false" ht="15" hidden="false" customHeight="false" outlineLevel="0" collapsed="false">
      <c r="A29" s="9" t="s">
        <v>542</v>
      </c>
      <c r="B29" s="9" t="s">
        <v>543</v>
      </c>
      <c r="C29" s="10" t="s">
        <v>544</v>
      </c>
    </row>
    <row r="30" customFormat="false" ht="15" hidden="false" customHeight="false" outlineLevel="0" collapsed="false">
      <c r="A30" s="9" t="s">
        <v>545</v>
      </c>
      <c r="B30" s="9" t="s">
        <v>546</v>
      </c>
      <c r="C30" s="10" t="s">
        <v>547</v>
      </c>
    </row>
    <row r="31" customFormat="false" ht="15" hidden="false" customHeight="false" outlineLevel="0" collapsed="false">
      <c r="A31" s="9" t="s">
        <v>548</v>
      </c>
      <c r="B31" s="9" t="s">
        <v>549</v>
      </c>
      <c r="C31" s="10" t="s">
        <v>550</v>
      </c>
    </row>
    <row r="32" customFormat="false" ht="15" hidden="false" customHeight="false" outlineLevel="0" collapsed="false">
      <c r="A32" s="9" t="s">
        <v>551</v>
      </c>
      <c r="B32" s="9" t="s">
        <v>552</v>
      </c>
      <c r="C32" s="10" t="s">
        <v>553</v>
      </c>
    </row>
    <row r="33" customFormat="false" ht="23.85" hidden="false" customHeight="false" outlineLevel="0" collapsed="false">
      <c r="A33" s="9" t="s">
        <v>554</v>
      </c>
      <c r="B33" s="9" t="s">
        <v>555</v>
      </c>
      <c r="C33" s="10" t="s">
        <v>556</v>
      </c>
    </row>
    <row r="34" customFormat="false" ht="15" hidden="false" customHeight="false" outlineLevel="0" collapsed="false">
      <c r="A34" s="9" t="s">
        <v>557</v>
      </c>
      <c r="B34" s="9" t="s">
        <v>558</v>
      </c>
      <c r="C34" s="10" t="s">
        <v>559</v>
      </c>
    </row>
    <row r="35" customFormat="false" ht="15" hidden="false" customHeight="false" outlineLevel="0" collapsed="false">
      <c r="A35" s="9" t="s">
        <v>560</v>
      </c>
      <c r="B35" s="9" t="s">
        <v>561</v>
      </c>
      <c r="C35" s="10" t="s">
        <v>562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2026-06-08T22:07:41Z</dcterms:created>
  <dc:creator>openpyxl</dc:creator>
  <dc:description/>
  <dc:language>en-US</dc:language>
  <cp:lastModifiedBy/>
  <dcterms:modified xsi:type="dcterms:W3CDTF">2026-06-08T22:07:41Z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